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3.xml" ContentType="application/vnd.openxmlformats-officedocument.spreadsheetml.pivotTable+xml"/>
  <Override PartName="/xl/pivotTables/pivotTable4.xml" ContentType="application/vnd.openxmlformats-officedocument.spreadsheetml.pivotTable+xml"/>
  <Override PartName="/xl/worksheets/sheet2.xml" ContentType="application/vnd.openxmlformats-officedocument.spreadsheetml.worksheet+xml"/>
  <Override PartName="/xl/pivotTables/pivotTable5.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Sheet4" sheetId="1" state="visible" r:id="rId1"/>
    <sheet name="Sheet3" sheetId="2" state="visible" r:id="rId2"/>
    <sheet name="Sheet1" sheetId="3" state="visible" r:id="rId3"/>
    <sheet name="Merge1" sheetId="4" state="visible" r:id="rId4"/>
    <sheet name="issues_custom_fields" sheetId="5" state="visible" r:id="rId5"/>
    <sheet name="issues" sheetId="6" state="visible" r:id="rId6"/>
    <sheet name="Sheet2" sheetId="7" state="visible" r:id="rId7"/>
    <sheet name="Sprint Completion Calc" sheetId="8" state="visible" r:id="rId8"/>
  </sheets>
  <definedNames>
    <definedName name="ExternalData_3" localSheetId="3" hidden="1">Merge1!$A$1:$AD$40</definedName>
    <definedName name="ExternalData_2" localSheetId="4" hidden="1">issues_custom_fields!$A$1:$B$40</definedName>
    <definedName name="ExternalData_1" localSheetId="5" hidden="1">issues!$A$1:$AB$40</definedName>
  </definedNames>
  <calcPr calcId="191029" fullCalcOnLoad="1"/>
  <pivotCaches>
    <pivotCache cacheId="32" r:id="rId9"/>
    <pivotCache cacheId="24" r:id="rId10"/>
  </pivotCaches>
</workbook>
</file>

<file path=xl/styles.xml><?xml version="1.0" encoding="utf-8"?>
<styleSheet xmlns="http://schemas.openxmlformats.org/spreadsheetml/2006/main">
  <numFmts count="2">
    <numFmt numFmtId="164" formatCode="0.0"/>
    <numFmt numFmtId="165" formatCode="yyyy-mm-dd"/>
  </numFmts>
  <fonts count="11">
    <font>
      <name val="Aptos Narrow"/>
      <family val="2"/>
      <color theme="1"/>
      <sz val="11"/>
      <scheme val="minor"/>
    </font>
    <font>
      <name val="Aptos Narrow"/>
      <family val="2"/>
      <color theme="1"/>
      <sz val="11"/>
      <scheme val="minor"/>
    </font>
    <font>
      <name val="Aptos Narrow"/>
      <family val="2"/>
      <b val="1"/>
      <color theme="1"/>
      <sz val="11"/>
      <scheme val="minor"/>
    </font>
    <font>
      <b val="1"/>
      <color rgb="00FFFFFF"/>
    </font>
    <font>
      <b val="1"/>
      <color rgb="00366092"/>
      <sz val="14"/>
    </font>
    <font>
      <i val="1"/>
      <sz val="9"/>
    </font>
    <font>
      <b val="1"/>
      <sz val="11"/>
    </font>
    <font>
      <sz val="10"/>
    </font>
    <font>
      <b val="1"/>
      <sz val="10"/>
    </font>
    <font>
      <b val="1"/>
      <color rgb="00C00000"/>
      <sz val="11"/>
    </font>
    <font>
      <b val="1"/>
      <color rgb="00008000"/>
      <sz val="12"/>
    </font>
  </fonts>
  <fills count="6">
    <fill>
      <patternFill/>
    </fill>
    <fill>
      <patternFill patternType="gray125"/>
    </fill>
    <fill>
      <patternFill patternType="solid">
        <fgColor theme="4" tint="0.7999816888943144"/>
        <bgColor indexed="64"/>
      </patternFill>
    </fill>
    <fill>
      <patternFill patternType="solid">
        <fgColor rgb="00366092"/>
        <bgColor rgb="00366092"/>
      </patternFill>
    </fill>
    <fill>
      <patternFill patternType="solid">
        <fgColor rgb="00B8CCE4"/>
        <bgColor rgb="00B8CCE4"/>
      </patternFill>
    </fill>
    <fill>
      <patternFill patternType="solid">
        <fgColor rgb="00FFC000"/>
        <bgColor rgb="00FFC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1" fillId="0" borderId="0"/>
    <xf numFmtId="43" fontId="1" fillId="0" borderId="0"/>
  </cellStyleXfs>
  <cellXfs count="37">
    <xf numFmtId="0" fontId="0" fillId="0" borderId="0" pivotButton="0" quotePrefix="0" xfId="0"/>
    <xf numFmtId="14" fontId="0" fillId="0" borderId="0" pivotButton="0" quotePrefix="0" xfId="0"/>
    <xf numFmtId="0" fontId="0" fillId="0" borderId="2" pivotButton="0" quotePrefix="0" xfId="0"/>
    <xf numFmtId="0" fontId="0" fillId="0" borderId="3" pivotButton="0" quotePrefix="0" xfId="0"/>
    <xf numFmtId="0" fontId="0" fillId="0" borderId="4" pivotButton="0" quotePrefix="0" xfId="0"/>
    <xf numFmtId="0" fontId="2" fillId="2" borderId="1" applyAlignment="1" pivotButton="0" quotePrefix="0" xfId="0">
      <alignment horizontal="center" vertical="center" wrapText="1"/>
    </xf>
    <xf numFmtId="43" fontId="2" fillId="0" borderId="1" pivotButton="0" quotePrefix="0" xfId="1"/>
    <xf numFmtId="0" fontId="0" fillId="0" borderId="8" pivotButton="1" quotePrefix="0" xfId="0"/>
    <xf numFmtId="0" fontId="0" fillId="0" borderId="9" pivotButton="0" quotePrefix="0" xfId="0"/>
    <xf numFmtId="0" fontId="0" fillId="0" borderId="1" pivotButton="0" quotePrefix="0" xfId="0"/>
    <xf numFmtId="164" fontId="2" fillId="0" borderId="1" pivotButton="0" quotePrefix="0" xfId="0"/>
    <xf numFmtId="43" fontId="0" fillId="0" borderId="0" pivotButton="0" quotePrefix="0" xfId="1"/>
    <xf numFmtId="0" fontId="0" fillId="0" borderId="0" pivotButton="1" quotePrefix="0" xfId="0"/>
    <xf numFmtId="0" fontId="0" fillId="0" borderId="0" applyAlignment="1" pivotButton="0" quotePrefix="0" xfId="0">
      <alignment horizontal="left"/>
    </xf>
    <xf numFmtId="0" fontId="2" fillId="2" borderId="5" applyAlignment="1" pivotButton="0" quotePrefix="0" xfId="0">
      <alignment horizontal="center" vertical="center" wrapText="1"/>
    </xf>
    <xf numFmtId="0" fontId="2" fillId="2" borderId="6" applyAlignment="1" pivotButton="0" quotePrefix="0" xfId="0">
      <alignment horizontal="center" vertical="center" wrapText="1"/>
    </xf>
    <xf numFmtId="0" fontId="2" fillId="2" borderId="7" applyAlignment="1" pivotButton="0" quotePrefix="0" xfId="0">
      <alignment horizontal="center" vertical="center" wrapText="1"/>
    </xf>
    <xf numFmtId="0" fontId="0" fillId="0" borderId="0" pivotButton="0" quotePrefix="0" xfId="0"/>
    <xf numFmtId="0" fontId="2" fillId="0" borderId="1" pivotButton="0" quotePrefix="0" xfId="0"/>
    <xf numFmtId="0" fontId="0" fillId="0" borderId="6" pivotButton="0" quotePrefix="0" xfId="0"/>
    <xf numFmtId="0" fontId="0" fillId="0" borderId="7" pivotButton="0" quotePrefix="0" xfId="0"/>
    <xf numFmtId="0" fontId="3" fillId="3" borderId="0" applyAlignment="1" pivotButton="0" quotePrefix="0" xfId="0">
      <alignment horizontal="center" vertical="center"/>
    </xf>
    <xf numFmtId="0" fontId="4" fillId="0" borderId="0" applyAlignment="1" pivotButton="0" quotePrefix="0" xfId="0">
      <alignment horizontal="left" vertical="center"/>
    </xf>
    <xf numFmtId="0" fontId="5" fillId="0" borderId="0" pivotButton="0" quotePrefix="0" xfId="0"/>
    <xf numFmtId="0" fontId="6" fillId="4" borderId="0" pivotButton="0" quotePrefix="0" xfId="0"/>
    <xf numFmtId="0" fontId="7" fillId="0" borderId="0" pivotButton="0" quotePrefix="0" xfId="0"/>
    <xf numFmtId="0" fontId="8" fillId="0" borderId="0" applyAlignment="1" pivotButton="0" quotePrefix="0" xfId="0">
      <alignment horizontal="right"/>
    </xf>
    <xf numFmtId="0" fontId="9" fillId="0" borderId="0" applyAlignment="1" pivotButton="0" quotePrefix="0" xfId="0">
      <alignment horizontal="right"/>
    </xf>
    <xf numFmtId="0" fontId="10" fillId="0" borderId="0" applyAlignment="1" pivotButton="0" quotePrefix="0" xfId="0">
      <alignment horizontal="right"/>
    </xf>
    <xf numFmtId="0" fontId="6" fillId="5" borderId="0" pivotButton="0" quotePrefix="0" xfId="0"/>
    <xf numFmtId="0" fontId="0" fillId="0" borderId="0" applyAlignment="1" pivotButton="0" quotePrefix="0" xfId="0">
      <alignment vertical="top" wrapText="1"/>
    </xf>
    <xf numFmtId="10" fontId="8" fillId="0" borderId="0" applyAlignment="1" pivotButton="0" quotePrefix="0" xfId="0">
      <alignment horizontal="right"/>
    </xf>
    <xf numFmtId="2" fontId="9" fillId="0" borderId="0" applyAlignment="1" pivotButton="0" quotePrefix="0" xfId="0">
      <alignment horizontal="right"/>
    </xf>
    <xf numFmtId="2" fontId="8" fillId="0" borderId="0" applyAlignment="1" pivotButton="0" quotePrefix="0" xfId="0">
      <alignment horizontal="right"/>
    </xf>
    <xf numFmtId="1" fontId="8" fillId="0" borderId="0" applyAlignment="1" pivotButton="0" quotePrefix="0" xfId="0">
      <alignment horizontal="right"/>
    </xf>
    <xf numFmtId="165" fontId="8" fillId="0" borderId="0" applyAlignment="1" pivotButton="0" quotePrefix="0" xfId="0">
      <alignment horizontal="right"/>
    </xf>
    <xf numFmtId="165" fontId="10" fillId="0" borderId="0" applyAlignment="1" pivotButton="0" quotePrefix="0" xfId="0">
      <alignment horizontal="right"/>
    </xf>
  </cellXfs>
  <cellStyles count="2">
    <cellStyle name="Normal" xfId="0" builtinId="0"/>
    <cellStyle name="Comma" xfId="1" builtinId="3"/>
  </cellStyles>
  <dxfs count="43">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font>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font>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font>
    </dxf>
    <dxf>
      <numFmt numFmtId="19" formatCode="m/d/yyyy"/>
    </dxf>
    <dxf>
      <numFmt numFmtId="19" formatCode="m/d/yyyy"/>
    </dxf>
    <dxf>
      <numFmt numFmtId="0" formatCode="General"/>
    </dxf>
    <dxf>
      <numFmt numFmtId="0" formatCode="General"/>
    </dxf>
    <dxf>
      <font>
        <b val="1"/>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font>
        <b val="1"/>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styles" Target="styles.xml" Id="rId11" /><Relationship Type="http://schemas.openxmlformats.org/officeDocument/2006/relationships/theme" Target="theme/theme1.xml" Id="rId12"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Jurijus Mirošničenko" refreshedDate="45964.38366631945" createdVersion="8" refreshedVersion="8" minRefreshableVersion="3" recordCount="39" r:id="rId1">
  <cacheSource type="worksheet">
    <worksheetSource name="Merge1"/>
  </cacheSource>
  <cacheFields count="32">
    <cacheField name="Column1.id" uniqueList="1" numFmtId="0" sqlType="0" hierarchy="0" level="0" databaseField="1">
      <sharedItems count="0" containsInteger="1" containsNumber="1" containsSemiMixedTypes="0" containsString="0" minValue="65707" maxValue="99745"/>
    </cacheField>
    <cacheField name="Column1.project.id" uniqueList="1" numFmtId="0" sqlType="0" hierarchy="0" level="0" databaseField="1">
      <sharedItems count="0" containsInteger="1" containsNumber="1" containsSemiMixedTypes="0" containsString="0" minValue="512" maxValue="512"/>
    </cacheField>
    <cacheField name="Column1.project.name" uniqueList="1" numFmtId="0" sqlType="0" hierarchy="0" level="0" databaseField="1">
      <sharedItems count="0"/>
    </cacheField>
    <cacheField name="Column1.tracker.id" uniqueList="1" numFmtId="0" sqlType="0" hierarchy="0" level="0" databaseField="1">
      <sharedItems count="0" containsInteger="1" containsNumber="1" containsSemiMixedTypes="0" containsString="0" minValue="2" maxValue="3"/>
    </cacheField>
    <cacheField name="Column1.tracker.name" uniqueList="1" numFmtId="0" sqlType="0" hierarchy="0" level="0" databaseField="1">
      <sharedItems count="0"/>
    </cacheField>
    <cacheField name="Column1.status.id" uniqueList="1" numFmtId="0" sqlType="0" hierarchy="0" level="0" databaseField="1">
      <sharedItems count="0" containsInteger="1" containsNumber="1" containsSemiMixedTypes="0" containsString="0" minValue="1" maxValue="18"/>
    </cacheField>
    <cacheField name="Column1.status.name" uniqueList="1" numFmtId="0" sqlType="0" hierarchy="0" level="0" databaseField="1">
      <sharedItems count="0"/>
    </cacheField>
    <cacheField name="Column1.status.is_closed" uniqueList="1" numFmtId="0" sqlType="0" hierarchy="0" level="0" databaseField="1">
      <sharedItems count="0"/>
    </cacheField>
    <cacheField name="Column1.priority.id" uniqueList="1" numFmtId="0" sqlType="0" hierarchy="0" level="0" databaseField="1">
      <sharedItems count="0" containsInteger="1" containsNumber="1" containsSemiMixedTypes="0" containsString="0" minValue="4" maxValue="7"/>
    </cacheField>
    <cacheField name="Column1.priority.name" uniqueList="1" numFmtId="0" sqlType="0" hierarchy="0" level="0" databaseField="1">
      <sharedItems count="0"/>
    </cacheField>
    <cacheField name="Column1.author.id" uniqueList="1" numFmtId="0" sqlType="0" hierarchy="0" level="0" databaseField="1">
      <sharedItems count="0" containsInteger="1" containsNumber="1" containsSemiMixedTypes="0" containsString="0" minValue="827" maxValue="996"/>
    </cacheField>
    <cacheField name="Column1.author.name" uniqueList="1" numFmtId="0" sqlType="0" hierarchy="0" level="0" databaseField="1">
      <sharedItems count="0"/>
    </cacheField>
    <cacheField name="Column1.assigned_to.id" uniqueList="1" numFmtId="0" sqlType="0" hierarchy="0" level="0" databaseField="1">
      <sharedItems count="0" containsBlank="1" containsInteger="1" containsNumber="1" containsString="0" minValue="821" maxValue="875"/>
    </cacheField>
    <cacheField name="Column1.assigned_to.name" uniqueList="1" numFmtId="0" sqlType="0" hierarchy="0" level="0" databaseField="1">
      <sharedItems count="0" containsBlank="1"/>
    </cacheField>
    <cacheField name="Column1.parent.id" uniqueList="1" numFmtId="0" sqlType="0" hierarchy="0" level="0" databaseField="1">
      <sharedItems count="0" containsBlank="1" containsInteger="1" containsNumber="1" containsString="0" minValue="86268" maxValue="99737"/>
    </cacheField>
    <cacheField name="Column1.subject" uniqueList="1" numFmtId="0" sqlType="0" hierarchy="0" level="0" databaseField="1">
      <sharedItems count="0"/>
    </cacheField>
    <cacheField name="Column1.description" uniqueList="1" numFmtId="0" sqlType="0" hierarchy="0" level="0" databaseField="1">
      <sharedItems count="0" longText="1"/>
    </cacheField>
    <cacheField name="Column1.start_date" uniqueList="1" numFmtId="14" sqlType="0" hierarchy="0" level="0" databaseField="1">
      <sharedItems count="0" containsBlank="1" containsDate="1" containsNonDate="0" containsString="0" minDate="2024-01-01T00:00:00" maxDate="2025-10-25T00:00:00"/>
    </cacheField>
    <cacheField name="Column1.due_date" uniqueList="1" numFmtId="14" sqlType="0" hierarchy="0" level="0" databaseField="1">
      <sharedItems count="0" containsBlank="1" containsDate="1" containsNonDate="0" containsString="0" minDate="2025-07-31T00:00:00" maxDate="2025-11-08T00:00:00"/>
    </cacheField>
    <cacheField name="Column1.done_ratio" uniqueList="1" numFmtId="0" sqlType="0" hierarchy="0" level="0" databaseField="1">
      <sharedItems count="0" containsInteger="1" containsNumber="1" containsSemiMixedTypes="0" containsString="0" minValue="0" maxValue="100"/>
    </cacheField>
    <cacheField name="Column1.is_private" uniqueList="1" numFmtId="0" sqlType="0" hierarchy="0" level="0" databaseField="1">
      <sharedItems count="0"/>
    </cacheField>
    <cacheField name="Column1.estimated_hours" uniqueList="1" numFmtId="0" sqlType="0" hierarchy="0" level="0" databaseField="1">
      <sharedItems count="0" containsBlank="1" containsNumber="1" containsString="0" minValue="1" maxValue="795"/>
    </cacheField>
    <cacheField name="Column1.total_estimated_hours" uniqueList="1" numFmtId="0" sqlType="0" hierarchy="0" level="0" databaseField="1">
      <sharedItems count="0" containsBlank="1" containsNumber="1" containsString="0" minValue="1" maxValue="795"/>
    </cacheField>
    <cacheField name="Column1.spent_hours" uniqueList="1" numFmtId="0" sqlType="0" hierarchy="0" level="0" databaseField="1">
      <sharedItems count="0" containsNumber="1" containsSemiMixedTypes="0" containsString="0" minValue="0" maxValue="81.5"/>
    </cacheField>
    <cacheField name="Column1.total_spent_hours" uniqueList="1" numFmtId="0" sqlType="0" hierarchy="0" level="0" databaseField="1">
      <sharedItems count="0" containsNumber="1" containsSemiMixedTypes="0" containsString="0" minValue="0" maxValue="687.4"/>
    </cacheField>
    <cacheField name="Column1.custom_fields" uniqueList="1" numFmtId="0" sqlType="0" hierarchy="0" level="0" databaseField="1">
      <sharedItems count="0"/>
    </cacheField>
    <cacheField name="Column1.created_on" uniqueList="1" numFmtId="0" sqlType="0" hierarchy="0" level="0" databaseField="1">
      <sharedItems count="0"/>
    </cacheField>
    <cacheField name="Column1.closed_on" uniqueList="1" numFmtId="0" sqlType="0" hierarchy="0" level="0" databaseField="1">
      <sharedItems count="0" containsBlank="1" containsNonDate="0" containsString="0"/>
    </cacheField>
    <cacheField name="issues_custom_fields.Column1.id" uniqueList="1" numFmtId="0" sqlType="0" hierarchy="0" level="0" databaseField="1">
      <sharedItems count="0" containsInteger="1" containsNumber="1" containsSemiMixedTypes="0" containsString="0" minValue="65707" maxValue="99745"/>
    </cacheField>
    <cacheField name="SPRINT" uniqueList="1" numFmtId="0" sqlType="0" hierarchy="0" level="0" databaseField="1">
      <sharedItems count="3" containsBlank="1">
        <s v="FR3-SPRINT_1"/>
        <s v=""/>
        <m/>
      </sharedItems>
    </cacheField>
    <cacheField name="DE" uniqueList="1" numFmtId="0" sqlType="0" hierarchy="0" level="0" databaseField="1">
      <sharedItems count="0" containsNumber="1" containsSemiMixedTypes="0" containsString="0" minValue="0" maxValue="636"/>
    </cacheField>
    <cacheField name="BE" uniqueList="1" numFmtId="0" sqlType="0" hierarchy="0" level="0" databaseField="1">
      <sharedItems count="0" containsNumber="1" containsSemiMixedTypes="0" containsString="0" minValue="0" maxValue="7.803680981595092"/>
    </cacheField>
  </cacheFields>
</pivotCacheDefinition>
</file>

<file path=xl/pivotCache/pivotCacheDefinition2.xml><?xml version="1.0" encoding="utf-8"?>
<pivotCacheDefinition xmlns:r="http://schemas.openxmlformats.org/officeDocument/2006/relationships" xmlns="http://schemas.openxmlformats.org/spreadsheetml/2006/main" refreshedBy="Jurijus Mirošničenko" refreshedDate="45964.38346863426" createdVersion="8" refreshedVersion="8" minRefreshableVersion="3" recordCount="639" r:id="rId1">
  <cacheSource type="worksheet">
    <worksheetSource ref="A1:I640" sheet="Sheet1"/>
  </cacheSource>
  <cacheFields count="9">
    <cacheField name="Date" uniqueList="1" numFmtId="14" sqlType="0" hierarchy="0" level="0" databaseField="1">
      <sharedItems count="0" containsDate="1" containsNonDate="0" containsSemiMixedTypes="0" containsString="0" minDate="2021-11-22T00:00:00" maxDate="2025-11-01T00:00:00"/>
    </cacheField>
    <cacheField name="User" uniqueList="1" numFmtId="0" sqlType="0" hierarchy="0" level="0" databaseField="1">
      <sharedItems count="0"/>
    </cacheField>
    <cacheField name="Activity" uniqueList="1" numFmtId="0" sqlType="0" hierarchy="0" level="0" databaseField="1">
      <sharedItems count="0"/>
    </cacheField>
    <cacheField name="Issue" uniqueList="1" numFmtId="0" sqlType="0" hierarchy="0" level="0" databaseField="1">
      <sharedItems count="0" longText="1"/>
    </cacheField>
    <cacheField name="Comment" uniqueList="1" numFmtId="0" sqlType="0" hierarchy="0" level="0" databaseField="1">
      <sharedItems count="0" containsBlank="1" longText="1"/>
    </cacheField>
    <cacheField name="Hours" uniqueList="1" numFmtId="0" sqlType="0" hierarchy="0" level="0" databaseField="1">
      <sharedItems count="0" containsNumber="1" containsSemiMixedTypes="0" containsString="0" minValue="0.01" maxValue="8"/>
    </cacheField>
    <cacheField name="Chargeable" uniqueList="1" numFmtId="0" sqlType="0" hierarchy="0" level="0" databaseField="1">
      <sharedItems count="0"/>
    </cacheField>
    <cacheField name="Week " uniqueList="1" numFmtId="0" sqlType="0" hierarchy="0" level="0" databaseField="1">
      <sharedItems count="47" containsInteger="1" containsNumber="1" containsSemiMixedTypes="0" containsString="0" minValue="2" maxValue="51">
        <n v="44"/>
        <n v="43"/>
        <n v="42"/>
        <n v="41"/>
        <n v="40"/>
        <n v="39"/>
        <n v="38"/>
        <n v="37"/>
        <n v="36"/>
        <n v="35"/>
        <n v="34"/>
        <n v="33"/>
        <n v="32"/>
        <n v="30"/>
        <n v="29"/>
        <n v="28"/>
        <n v="27"/>
        <n v="26"/>
        <n v="25"/>
        <n v="24"/>
        <n v="23"/>
        <n v="22"/>
        <n v="21"/>
        <n v="19"/>
        <n v="18"/>
        <n v="15"/>
        <n v="4"/>
        <n v="3"/>
        <n v="50"/>
        <n v="49"/>
        <n v="48"/>
        <n v="47"/>
        <n v="46"/>
        <n v="45"/>
        <n v="31"/>
        <n v="17"/>
        <n v="16"/>
        <n v="14"/>
        <n v="13"/>
        <n v="12"/>
        <n v="11"/>
        <n v="8"/>
        <n v="7"/>
        <n v="6"/>
        <n v="5"/>
        <n v="2"/>
        <n v="51"/>
      </sharedItems>
    </cacheField>
    <cacheField name="Year" uniqueList="1" numFmtId="0" sqlType="0" hierarchy="0" level="0" databaseField="1">
      <sharedItems count="5" containsInteger="1" containsNumber="1" containsSemiMixedTypes="0" containsString="0" minValue="2020" maxValue="2025">
        <n v="2025"/>
        <n v="2024"/>
        <n v="2022"/>
        <n v="2021"/>
        <n v="2020" u="1"/>
      </sharedItems>
    </cacheField>
  </cacheFields>
</pivotCacheDefinition>
</file>

<file path=xl/pivotCache/pivotCacheRecords1.xml><?xml version="1.0" encoding="utf-8"?>
<pivotCacheRecords xmlns="http://schemas.openxmlformats.org/spreadsheetml/2006/main" count="39">
  <r>
    <n v="99745"/>
    <n v="512"/>
    <s v="LG-D365 CRM Project"/>
    <n v="2"/>
    <s v="Feature"/>
    <n v="2"/>
    <s v="In Progress"/>
    <b v="0"/>
    <n v="4"/>
    <s v="Normal"/>
    <n v="875"/>
    <s v="VilMat"/>
    <n v="821"/>
    <s v="GabKoj"/>
    <n v="96214"/>
    <s v="FR3-SPRINT_1-017 - Queue/Queue Items &gt; Convert To Case - Account suradimas ir užpildymas į lookup laukelį"/>
    <s v="h1. Poreikis:_x000d__x000a__x000d__x000a_Sistema turi automatiškai atpažinti įeinančius laiškus pagal domeną (….@domenas.lt) ir parinkti Klientą jei toks yra sistemoje pagal jį, kuriant kitus objektus._x000d__x000a_Bendrinės pašto dėžutės pagal numatytas komandas gauna kliento laiškus į CRM eiles. Laišką konvertuoja į užklausą. Konvertuojant į užklausą reikia rankiniu būdu pasirinkti Klientą. Reikia, kad būtų:_x000d__x000a_1. Jeigu klientas suvestas į CRM pagal domeną įvestų klientą automatiškai.  _x000d__x000a_2. Jeigu nėra įvesta kliento CRM palikti kaip yra dabar t.y. pasirinkimas iš sąrašo._x000d__x000a_3. Turėtų būti galimybė klientą pakeisti ran*kiniu būdu._x000d__x000a_4. Pasirinkimui duotų tik įrašus iš objekto Klientai (neduotų sąrašo iš objekto Kontaktai)._x000d__x000a_Tas pats turėtų būti konvertuojant į galimybes._x000d__x000a_Dedikuoti asmenys dirba per įskiepį (nukreipia laiškus į CRM, tas pats turėtų galioti kuriant užklausą/galimybę per outlook įskiepį._x000d__x000a__x000d__x000a__x000d__x000a_h1. Patvirtintas poreikis:_x000d__x000a__x000d__x000a_Konvertuojant laišką į užklausą:_x000d__x000a_* Kliento ieško iš aktyvių/įjungtų klientų įrašų. (Account Active/ inactive)_x000d__x000a_* Jeigu klientą randa pagal &quot;nuo&quot; adresato domeną automatšikai užpildo kliento laukelį._x000d__x000a_* Jeigu neranda lieka tuščia vieta, pateikiamas sąrašas._x000d__x000a_* Rankiniu būdu yra galimybė pakeisti klientą._x000d__x000a_* Pasirinkimui duotų tik įrašus iš objekto Klientai (neduotųi sąrašo iš objekto Kontaktai)._x000d__x000a_* Jeigu randamas daugiau nei vienas Klientasi su identišku el. paštu tuomet nepildyti kliento laukelio (Convert to case paspaudimo metu)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Emails_x000d__x000a_* 'Convert To Case' funkcijos langas_x000d__x000a__x000d__x000a_______x000d__x000a__x000d__x000a_*Modifikacijos tęstinės - Pirma dalis žemiau*_x000d__x000a_*Antra dalis: #99744*_x000d__x000a__x000d__x000a_______x000d__x000a__x000d__x000a_*'Convert To Case' funkcijos langas:*_x000d__x000a_* Esamas laukas 'Customer' pervadinamas į 'Account'(LT: Klientas)_x000d__x000a_* Esamo lauko filtras nustatomas atvaizduoti tik 'Active' statuso 'Account' įrašus_x000d__x000a__x000d__x000a_*Veikimo eiga (Convert to Case lange):*_x000d__x000a_* Vartotojui paspaudus 'Convert to Case' el. laiško įraše, sistema atidaro konvertavimo langą._x000d__x000a_* Užkrovimo metu (on load event) sistema inicijuoja tikrinimą pagal el. laiško 'From' laukelio el. pašto adresą._x000d__x000a_* Sistema tikrina:_x000d__x000a_** Ar 'Email.From' atitinka kokį nors 'Account.EmailAddress1' lauką CRM sistemoje._x000d__x000a_** Filtruojami tik 'Active' Account įrašai (statecode = Active)._x000d__x000a_* Jei randa tik vieną atitinkantį aktyvų Account:_x000d__x000a_** Automatiškai užpildo 'Account' lauką 'Convert to Case' lange._x000d__x000a_* Jei randa kelis Account įrašus su tuo pačiu el. paštu:_x000d__x000a_** Neužpildo 'Account' lauko – paliekamas tuščias, vartotojas pasirenka rankiniu būdu._x000d__x000a_* Jei neranda jokio 'Account' su tokiu el. paštu:_x000d__x000a_** 'Account' laukas lieka tuščias._x000d__x000a_* Jei el. pašto adresas priklauso tik 'Contact' įrašui:_x000d__x000a_** Sistema nepildo 'Account' lauko (Contact entitetas neįtraukiamas į paiešką)._x000d__x000a_* Vartotojas visada gali rankiniu būdu pasirinkti kitą 'Account' iš sąrašo, tačiau:_x000d__x000a_** Sąrašas turi rodyti tik 'Account' tipo įrašus (ne Kontaktus)._x000d__x000a__x000d__x000a_*Taisyklės:*_x000d__x000a__x000d__x000a_| # | Sąlyga                                              | Veiksmas                               | Rezultatas                       |_x000d__x000a_| - | --------------------------------------------------- | -------------------------------------- | -------------------------------- |_x000d__x000a_| 1 | Vienas aktyvus Account su sutampančiu EmailAddress1 | Užpildyti Account lauką lange          | Account užpildytas automatiškai  |_x000d__x000a_| 2 | Keli aktyvūs Account su tuo pačiu el. paštu         | Neužpildyti Account lauko              | Paliekamas tuščias               |_x000d__x000a_| 3 | Nerasta atitiktis jokiam Account                    | Neužpildyti Account lauko              | Paliekamas tuščias               |_x000d__x000a_| 4 | El. paštas priklauso Contact įrašui                 | Nepildyti Account lauko                | Paliekamas tuščias               |_x000d__x000a_| 5 | Vartotojas pakeičia Account rankiniu būdu           | Leisti pasirinkti tik iš Account įrašų | Užtikrinta duomenų konsistencija |_x000d__x000a__x000d__x000a_*Techninė (DEV) logika:*_x000d__x000a_* Veikimas inicijuojamas Convert to Case dialogo užkrovimo metu (on load event)._x000d__x000a_* Įgyvendinimo būdai:_x000d__x000a_** (DEV) JavaScript (form script) arba plugin (pre-conversion event handler)._x000d__x000a_* Logikos eiga:_x000d__x000a_** Gauti Email.From reikšmę (siuntėjo adresą)._x000d__x000a_** Užklausa į Account modulį:_x000d__x000a_** Filtras:_x000d__x000a_*** EmailAddress1 = Email.From_x000d__x000a_*** StateCode = Active_x000d__x000a_** Jei rezultatų = 1 → nustatyti Account lookup lauką su rasto įrašo ID ir pavadinimu._x000d__x000a_** Jei rezultatų &gt;1 arba =0 → palikti lauką tuščią._x000d__x000a_* Lookup filtre leidžiama rinktis tik Account tipo įrašus (entityfilter: account)._x000d__x000a__x000d__x000a_*Testavimo scenarijai:*_x000d__x000a__x000d__x000a_| # | Testavimo Scenarijus                         | Reikšmė/Sąlyga                                                | Planuojamas rezultatas                                       |_x000d__x000a_| - | ------------------------------------------- | ---------------------------------------------------------------- | ----------------------------------------------------- |_x000d__x000a_| 1 | Vienas aktyvus Account su tokiu el. paštu   | Email.From = [client@company.com](mailto:client@company.com)     | Convert to Case lange Account automatiškai užpildytas |_x000d__x000a_| 2 | Keli aktyvūs Account su tuo pačiu el. paštu | Email.From = [duplicate@domain.com](mailto:duplicate@domain.com) | Account laukas lieka tuščias                          |_x000d__x000a_| 3 | Account įrašas neaktyvus                    | Email.From = [old@inactive.com](mailto:old@inactive.com)         | Account laukas lieka tuščias                          |_x000d__x000a_| 4 | El. paštas priklauso Contact įrašui         | Email.From = [person@contact.com](mailto:person@contact.com)     | Account laukas lieka tuščias                          |_x000d__x000a_| 5 | El. paštas neatpažintas sistemoje           | Email.From = [unknown@domain.com](mailto:unknown@domain.com)     | Account laukas lieka tuščias                          |_x000d__x000a_| 6 | Vartotojas pasirenka Account rankiniu būdu  | Vartotojas pasirenka iš sąrašo                                   | Leidžiama rinktis tik Account įrašus                  |_x000d__x000a__x000d__x000a_Ši funkcija automatizuoja Account lauko užpildymą Convert to Case lange, dar prieš Case sukūrimą._x000d__x000a_Sistema automatiškai ieško aktyvaus Account pagal el. laiško siuntėjo adresą ir užpildo lauką, jei randa vienintelį atitikmenį._x000d__x000a_Tokiu būdu sumažinamas rankinis darbas, išvengiama neteisingų priskyrimų ir užtikrinamas tikslesnis Case susiejimas su atitinkamu klientu."/>
    <d v="2025-09-18T00:00:00"/>
    <d v="2025-11-07T00:00:00"/>
    <n v="0"/>
    <b v="0"/>
    <n v="10"/>
    <n v="10"/>
    <n v="1.25"/>
    <n v="1.25"/>
    <s v="[List]"/>
    <s v="2025-10-16T16:31:05Z"/>
    <m/>
    <n v="99745"/>
    <x v="0"/>
    <n v="0"/>
    <n v="0"/>
  </r>
  <r>
    <n v="99744"/>
    <n v="512"/>
    <s v="LG-D365 CRM Project"/>
    <n v="2"/>
    <s v="Feature"/>
    <n v="1"/>
    <s v="New"/>
    <b v="0"/>
    <n v="4"/>
    <s v="Normal"/>
    <n v="875"/>
    <s v="VilMat"/>
    <n v="821"/>
    <s v="GabKoj"/>
    <n v="96214"/>
    <s v="FR3-SPRINT_1-016 - Queue/Queue Items &gt; Convert To Case - Kontakto pagal klientą užpildymas ir pernešimas į sukuriamą užklausos įrašą"/>
    <s v="h1. Poreikis:_x000d__x000a__x000d__x000a_Kovertuojant laišką į užklausą Papildomai užklausoje rankiniu būdu reikia įvesti klientą / kontaktą iš kurio gautas el. laiškas. _x000d__x000a_Komentaras 1. čia turėta mintyje, kad kai klientas rašo laišką, pagal jo el. paštą automatiškai užklausoje įkristų, kaip Kontaktas ir nereikėtų rankiniu būdu suvedinėti. Pridėtas pav., kur nurodyta, kur turėtų atsirasti įrašas._x000d__x000a__x000d__x000a_Tiekėjo siūlomas išpildymas:_x000d__x000a_* Papildomas konvertavimo langas kontakto laukeliu._x000d__x000a_* Laukelis automatiškai užpildomas jeigu laiško siuntėjas sistemoje yra sukurtas kaip 'kontaktas'._x000d__x000a_* Atlikus konversiją užklausoje parinktasis kontaktas įdedamas į 'kontaktas' laukelį_x000d__x000a__x000d__x000a_h1. Patvirtintas poreikis:_x000d__x000a__x000d__x000a_Kontaktą fiksuotų tik konvertavimo metu, tolimesnių susirašinėjimų kontaktų nefiksuoti:_x000d__x000a_Konvertuojant laišką sistema automatiškai parenka Klientą pagal domeną._x000d__x000a_Iš Kliento esamo kontaktų sąrašo parenka konkretų kontaktą._x000d__x000a_Jeigu suvesto kontakto nėra, palieka tuščią vietą._x000d__x000a_Jeigu kontaktuose yra daugiau nei vienas kontaktas su tuo pačiu el. paštu, palieka tuščią vietą_x000d__x000a_Jeigu Klientas parinktas rankiniu būdu, užėjus į kontakto lauką, paspaudus enter rodytų tos įmonės kontaktus.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Emails_x000d__x000a_* 'Convert To Case' funkcijos langas_x000d__x000a__x000d__x000a_______x000d__x000a__x000d__x000a_*Modifikacijos tęstinės - Antra dalis žemiau*_x000d__x000a_*Pirma dalis: #99745*_x000d__x000a__x000d__x000a_______x000d__x000a__x000d__x000a_*Tikslas:*_x000d__x000a_Užtikrinti, kad 'Convert to Case' lange automatiškai būtų užpildomas 'Contact' (Kontaktas) laukas tik tuo atveju, jei el. laiško siuntėjo adresas atitinka vieną iš kontakto įrašų, susietų su parinktu 'Account' (Klientu)._x000d__x000a_Tikslas – užtikrinti, kad konvertuojant el. laišką į užklausą kontaktas būtų priskiriamas tik prie teisingo kliento ir išvengti neteisingų susiejimų._x000d__x000a__x000d__x000a_*Bendroji logika:*_x000d__x000a_* Funkcija vykdoma tik „Convert to Case“ lange, dar prieš 'Case' įrašo sukūrimą._x000d__x000a_* Pirmiausia nustatomas ir užpildomas 'Account' (Klientas) pagal atskirą taisyklę (pirmoji funkcijos dalis)._x000d__x000a_* Tik po to vykdoma 'Contact' (Kontaktas) parinkimo logika, susieta su tuo pačiu 'Account'._x000d__x000a_* Kontaktas priskiriamas tik tuo atveju, jei jis priklauso jau nustatytam 'Account' ir sutampa jo el. pašto adresas su el. laiško „From“ laukelio adresu._x000d__x000a_* Jei 'Account' laukas nebuvo automatiškai užpildytas, kontaktas nenustatomas ir neužpildomas, net jei sistemoje yra atitikmuo._x000d__x000a_* 'Contact' lookup tipo lange rodomi tik tie kontaktai, kurie priklauso pasirinktai įmonei (Account)._x000d__x000a__x000d__x000a_*Verslo taisyklės:*_x000d__x000a__x000d__x000a_| # | Sąlyga                                                                       | Veiksmas                                                                                  | Rezultatas                                                  |_x000d__x000a_| - | ---------------------------------------------------------------------------- | ----------------------------------------------------------------------------------------- | ----------------------------------------------------------- |_x000d__x000a_| 1 | Account automatiškai nustatytas pagal el. paštą                       | Ieškoti kontakto, kuris priklauso šiam Account ir turi tą patį el. paštą kaip laiško From | Jei randamas, Contact užpildomas automatiškai               |_x000d__x000a_| 2 | Nerandamas kontaktas tarp to Account kontaktų                                | Nepildyti Contact lauko                                                                   | Kontaktas lieka tuščias                                     |_x000d__x000a_| 3 | Daugiau nei vienas kontaktas su tuo pačiu el. paštu tarp to Account kontaktų | Nepildyti Contact lauko                                                                   | Paliekamas tuščias                                          |_x000d__x000a_| 4 | Account laukas konvertavimo lange **tuščias**                                | Nevykdyti kontakto paieškos                                                               | Contact laukas nebus automatiškai užpildytas                |_x000d__x000a_| 5 | Rankiniu būdu parinktas Account konvertavimo lange                           | Filtruoti Contact lookup sąrašą pagal pasirinktą Account                                  | Rodyti tik susietus su tuo Account kontaktus                |_x000d__x000a_| 6 | Vartotojas rankiniu būdu pasirenka kitą kontaktą                             | Leisti pasirinkti tik iš susietų su tuo Account kontaktų                                  | Užtikrintas duomenų vientisumas                             |_x000d__x000a_| 7 | Paspaudus „OK“ (Convert to Case)                                             | Į Case perkelti pasirinktus Account ir Contact įrašus                                     | `customerid` ir `primarycontactid` užpildomi sukurtame Case |_x000d__x000a__x000d__x000a_*(DEV)Techninė logika:*_x000d__x000a_* Sukuriamas naujas/panaudojamas esamas laukas 'Contact'(LT: Kontaktas) ir pridedamas į 'Convert To Case' langą._x000d__x000a_* (DEV) JavaScript skriptas pridedamas prie 'Convert to Case' dialogo formos._x000d__x000a_* Vykdymo eiga:_x000d__x000a_** Patikrinama, ar 'Account' laukas konvertavimo lange turi reikšmę._x000d__x000a_*** Jei tuščias, skriptas neatlieka kontakto paieškos._x000d__x000a_** Jei 'Account' nustatytas:_x000d__x000a_*** Nuskaitomas Email.From lauko adresas._x000d__x000a_*** Užklausa į Contact modulį su filtrais:_x000d__x000a_**** ParentCustomerId = Pasirinktas Account_x000d__x000a_**** EmailAddress1 = Email.From_x000d__x000a_*** Jei randamas 1 rezultatas → užpildomas Contact laukas._x000d__x000a_*** Jei rezultatų nėra arba daugiau nei vienas → Contact laukas lieka tuščias._x000d__x000a_** Kontaktų lookup lauke nustatomas custom filter:_x000d__x000a_*** ParentCustomerId = Pasirinktas Account._x000d__x000a_*** Filtras atsinaujina pasikeitus Account laukui._x000d__x000a_** Po „OK“ paspaudimo:_x000d__x000a_*** Į sukurtą Case įrašomi primarycontactid = pasirinktas kontaktas ir customerid = pasirinktas Account._x000d__x000a__x000d__x000a_*Testavimo scenarijai:*_x000d__x000a__x000d__x000a_| # | Testavimo scenarijus                                                               | Reikšmė/Sąlyga                                                                   | Numatytas rezultatas                                             |_x000d__x000a_| - | --------------------------------------------------------------------------- | ----------------------------------------------------------------------------------- | ----------------------------------------------------------- |_x000d__x000a_| 1 | Account automatiškai nustatytas, randamas vienas kontaktas su tuo el. paštu | Email.From = [john@company.com](mailto:john@company.com), Account = Company A       | Contact laukas automatiškai užpildytas                      |_x000d__x000a_| 2 | Account nustatytas, bet kontaktas nerastas                                  | Email.From = [unknown@company.com](mailto:unknown@company.com), Account = Company A | Contact laukas tuščias                                      |_x000d__x000a_| 3 | Account nustatytas, randami keli kontaktai su tuo pačiu el. paštu           | Email.From = [shared@company.com](mailto:shared@company.com), Account = Company A   | Contact laukas tuščias                                      |_x000d__x000a_| 4 | Account laukas tuščias konvertavimo lange                                   | Email.From = [user@company.com](mailto:user@company.com), Account = null            | Contact paieška neatliekama                                 |_x000d__x000a_| 5 | Rankiniu būdu pasirinktas Account, atidarytas Contact lookup                | Account = Company B, paspaustas Enter Contact lauke                                 | Rodo tik Company B kontaktus                                |_x000d__x000a_| 6 | Patvirtinamas konvertavimas (Confirm)                                            | Account ir Contact nustatyti                                                        | Sukurtame Case užpildyti `customerid` ir `primarycontactid` |_x000d__x000a__x000d__x000a_*Priklausomybės:*_x000d__x000a_* Pirmoji funkcijos dalis – automatinis Account nustatymas pagal el. laiško siuntėjo domeną._x000d__x000a_* (DEV) JavaScript skriptas Convert to Case formoje._x000d__x000a_* Contact ir Account sąryšis per lauką ParentCustomerId._x000d__x000a_* Custom lookup filtro logika (addCustomFilter) Contact laukui._x000d__x000a__x000d__x000a_*Neįtraukta sprendimo apimtyje(Out of Scope):*_x000d__x000a_* Kontaktų automatinis kūrimas ar atnaujinimas._x000d__x000a_* El. pašto domeno logikos keitimas Account parinkimui._x000d__x000a_* Tolimesnių el. laiškų (po pirmos konversijos) kontaktų analizė ar fiksavimas."/>
    <d v="2025-09-18T00:00:00"/>
    <d v="2025-11-07T00:00:00"/>
    <n v="0"/>
    <b v="0"/>
    <n v="15"/>
    <n v="15"/>
    <n v="2.75"/>
    <n v="2.75"/>
    <s v="[List]"/>
    <s v="2025-10-16T16:27:36Z"/>
    <m/>
    <n v="99744"/>
    <x v="0"/>
    <n v="0"/>
    <n v="0"/>
  </r>
  <r>
    <n v="99743"/>
    <n v="512"/>
    <s v="LG-D365 CRM Project"/>
    <n v="2"/>
    <s v="Feature"/>
    <n v="1"/>
    <s v="New"/>
    <b v="0"/>
    <n v="4"/>
    <s v="Normal"/>
    <n v="875"/>
    <s v="VilMat"/>
    <n v="821"/>
    <s v="GabKoj"/>
    <n v="96214"/>
    <s v="FR3-SPRINT_1-015 - Queue/Queue Items &gt; Naujo modulio fiksuoti eilių konvertavimą kūrimas"/>
    <s v="h1. Poreikis:_x000d__x000a__x000d__x000a_Kaip stebėti, kaip laiškai vaikšto per eiles pvz.: kai laiškas pvz atėjo į eilę bendri aptarnavimo klausimai, jie perkėlė į kitą eilę pvz krovinių gabenimas. Kaip pamatyti, kada ir kas perkėlė (įsitraukti į ataskaitas)_x000d__x000a_Per kiek laiko laiškas virto užklausa/ galimybe_x000d__x000a_Kai laiškas į užklausą konvertuojamas iš eilės į kurią atėjo._x000d__x000a_Kai laiškas į užklausą konvertuojamas iš eilės į kurią buvo perkeltas._x000d__x000a__x000d__x000a_h1. Patvirtintas poreikis:_x000d__x000a__x000d__x000a_Klausimai: EM_x000d__x000a_Fiksuoti: eilės įrašo sukūrimą, pasikeitimus, trynimą, konvertvimą į objetus. T.y. analogas retrospektyvai. Laikas, vartotojas, eilės. Kur matysis visa laiško kelionė. Kelionės laikas nuo laiško įkritimo į CRM (pirmą eilę) ir pavertimo į užklausą/galimybę turėtų tapti kintamuoju (KPI), kurį būtų galima prisidėti rodiniuose, ataskaitose._x000d__x000a_Reikia detalesnio paaiškinimo, kaip būtų atvaizduojama, kaip galima matyti duomenis, ar visi vartotojai matys? _x000d__x000a_Galimybė įsitraukti duomenis į PBI ataskaitą. (Per kliek laiko laiškas virto CRM objektu (kokiu), kas atliko veiksmus). _x000d__x000a_Papildomai reikalingas dar vienas kintamasis (KPI) bendram kelionės laikui nuo laiško patekimo į CRM iki užklausos/galimybės uždarymo._x000d__x000a__x000d__x000a_VM: istorinių veiksmų registre fiksuoti ne tik sąryšį su eilės įrašu, bet ir su pačiu el. laišku._x000d__x000a__x000d__x000a_Nuspręsti kiek laiko saugom. Kai ištrinsim nesimatys PBI._x000d__x000a__x000d__x000a_Fiksuoti: _x000d__x000a_eilės įrašo sukūrimą,_x000d__x000a_pasikeitimus, _x000d__x000a_trynimą, _x000d__x000a_konvertvimą į objetus._x000d__x000a__x000d__x000a_Laikas, _x000d__x000a_vartotojas, _x000d__x000a_eilės. _x000d__x000a_Kelionės laikas nuo laiško įkritimo į CRM (pirmą eilę) ir pavertimo į užklausą/galimybę turėtų tapti kintamuoju (KPI), kurį būtų galima prisidėti rodiniuose, ataskaitose._x000d__x000a_Papildomai reikalingas dar vienas kintamasis (KPI) bendram kelionės laikui nuo laiško patekimo į CRM iki užklausos/galimybės uždarymo._x000d__x000a__x000d__x000a_Siūlomas sprendimas:_x000d__x000a_Galima fiksuoti 'Queue Item details' formoje._x000d__x000a_Pasiekiama iš Queue&gt;pažymimas Queue Item&gt; per tris taškelius pasirenkamas 'Queue item details';_x000d__x000a_Arba per 'Queue Items'&gt;'Queue Item Details';_x000d__x000a_Queue Item Details forma -&gt; fiksuojami pernešimo į kitą eilę įrašai._x000d__x000a_Būtų sukurtas atskiras modulis šiems duomenims fiksuoti. O 'Queue Item Details' formoje įdedama lentelė(sub-grid) kurioje matomi sukurti įrašai nuo įvykdyto perkėlimo._x000d__x000a_Vertinimas: 6val._x000d__x000a__x000d__x000a_Laiko fiksavimas nuo eilės įrašo patekimo į eilę iki jo konversijos į Galimybę/Užklausą. Užfiksuojamas laikas su kodo pagalba, kai tik įvyksta konversija._x000d__x000a_Vertinimas: 5.5val._x000d__x000a__x000d__x000a_Papildomai fiksuojamas laikas  nuo laiško patekimo į CRM iki susieto Case/Opportunity įrašo uždarymo._x000d__x000a_Vertinimas: 2val._x000d__x000a__x000d__x000a_GO-ERP komentaras (Versija 3)(redaguoti, kad perskaityti viską):_x000d__x000a_Queue item details - Atsidarius formą būtų matoma papildoma sąrašo tipo lentelė, kurioje būtų galimybė, pagal įrašų kiekį, matyti, kiek kartų buvo keista el.laiško eilė. Atitinkamai kada ir kas ją keitė(perkėlė) - tai atskiri laukai kitame modulyje._x000d__x000a_Atskiras modulis būtų traktuojamas kaip įrašų istorijos lentelė, kur kiekvienam iš eilės įrašų būtų sukuriamas atskiras įrašas nuo apibrėžto pakeitimo - perkėlimo į kitą eilę._x000d__x000a_Atitinkamai, dėl įrašų kiekio apimties, tokiam moduliui, suderinus, būtų pritaikomas įrašų trynimas po 'x' laiko(tarsi senaties termino suėjimas), tam, kad sistema nebūtų apkrauta(vietos prasme) nebereikalingais įrašais._x000d__x000a__x000d__x000a_Queue item details - Atsidarius formą būtų matomi papildomi datos ir laiko laukeliai bei išskaičiuotas laikas(sutartinai - sekundėmis, minutėmis ar valandomis). Kai tik laiškas patektų į eilę, kodo pagalba sistema automatiškai tam įrašui fiksuotų datos ir laiko faktą. Kai tik laiškui būtų įvykdytas 'konvertavimas' sistemos kodas taipogi užfiksuotų datos ir laiko faktą. Po šių dviejų laukų faktinių rodiklių užfiksavimo fone sistema išskaičiuotų praleistą laiką, kurį įdėtų į dedikuotą lauką skaitine reikšme._x000d__x000a_Jeigu eilės įrašas(po konvertavimo) išlieka eilėje - duomenys fiksuojami tiesiogai eilės įraše, o vėliau nesunkiai išsitraukiami laukeliai analizei._x000d__x000a_Jeigu eilės įrašas(po konvertavimo) dingsta iš eilės - duomenys gali būti kuriami ir fiksuojami atskirame, dedikuotame 'custom' modulyje', kurio faktiniai įrašai taipogi gali būti analizuojami ar paimami į PowerBI._x000d__x000a__x000d__x000a_Kai kalbame apie atskirą modulį, tai visuomet turime galimybę apriboti per saugumo rolę, kuri vartotojų grupė gali matyti tą modulį arba netgi sukurti atskirą vartotojų saugumo rolę, kuri gali būti priskiriama tik 'x' asmenims._x000d__x000a_Kai kalbame apie standartinio modulio viduje esančius laukelius, pasirinkimo galimybės yra dvejopos - a) formoje laukai neatvaizduojami ir tik apie tai žinantys asmenys gali juos prisidėti į rodinius bei patraukti į powerbi; b) formoje(kai tai leidžia MS apribojimai) laukeliams pritaikyti laukų saugumo parametrus, kurių pagrindu nepriskirtiems vartotojams rodo tik žvaigždutes '****', o priskirtiems realius, laukeliuose užfiksuotus, duomenis '2025-08-08 22:20'._x000d__x000a__x000d__x000a__x000d__x000a_h1. Atliekamos modifikacijos:_x000d__x000a__x000d__x000a_*&lt;pre&gt;_x000d__x000a_Modifikacijų sprendinio šaltinis: LTG_CRM - #96210 FR3-SPRINT1 System Customizations_x000d__x000a_&lt;/pre&gt;*_x000d__x000a__x000d__x000a_*Tikslas:*_x000d__x000a_Sukurti centralizuotą eilės įrašų retrospektyvos (Queue Item Details) sprendimą, kuris automatiškai fiksuoja visus laiško perėjimus tarp eilių, vartotojų veiksmus (sukūrimą, perkėlimą, konvertavimą, ištrynimą) ir skaičiuoja du KPI rodiklius:_x000d__x000a_# Laiką nuo laiško patekimo į CRM eilę iki jo konvertavimo į „Case“ ar „Opportunity“._x000d__x000a_# Bendrą kelionės laiką nuo laiško patekimo į CRM iki uždaryto „Case“ ar „Opportunity“._x000d__x000a__x000d__x000a_Sprendimas užtikrina pilną laiško „kelionės“ istoriją bei suteikia galimybę Power BI ataskaitoms analizuoti proceso efektyvumą._x000d__x000a__x000d__x000a_*1. Moduliai ir duomenų struktūra*_x000d__x000a_* Sukuriamas naujas custom modulis „Queue Item History“ ,kaip nepriklausoma esybė._x000d__x000a_* Kiekvienas eilės įrašo perkėlimas, konvertavimas ar ištrynimas fiksuojamas naujai sukurtame įraše šiame modulyje._x000d__x000a_* Modulis saugo šiuos atributus: laikas, vartotojas, veiksmo tipas, pradinė ir nauja eilė, susietas laiškas, susietas „Case/Opportunity“._x000d__x000a_* „Queue Item Details“ formoje įdedamas sub-grid rodantis susijusius istorinius įrašus iš „Queue Item History“._x000d__x000a__x000d__x000a_*2. Veiksmų fiksavimas*_x000d__x000a__x000d__x000a_| Įvykis                           | Fiksuojamas veiksmas | Sukuriamas įrašas modulyje | Papildoma logika                                              |_x000d__x000a_| -------------------------------- | -------------------- | -------------------------- | ------------------------------------------------------------- |_x000d__x000a_| Eilės įrašo sukūrimas            | New Queue Item       | ✔️                         | Užfiksuojamas įkėlimo laikas ir pradinė eilė                  |_x000d__x000a_| Perkėlimas į kitą eilę           | Queue Reassigned     | ✔️                         | Fiksuojamas senos ir naujos eilės ID, vartotojas, data/laikas |_x000d__x000a_| Konvertavimas į Case/Opportunity | Converted            | ✔️                         | Užfiksuojamas konversijos laikas ir tikslinis objektas        |_x000d__x000a_| Eilės įrašo ištrynimas           | Deleted              | ✔️                         | Fiksuojama paskutinė būsena, vartotojas, data/laikas          |_x000d__x000a__x000d__x000a_*3. KPI logika (automatiniai skaičiavimai)*_x000d__x000a_* *KPI_1 – Queue-to-Object Duration:*_x000d__x000a_** Skaičiuojamas skirtumas tarp Queue Entry Time ir Converted to Object Time._x000d__x000a_** Matavimo vienetas: minutės (konfigūruojama)._x000d__x000a_** Vertė saugoma laukelyje QueueToConversionDuration._x000d__x000a_* *KPI_2 – CRM-to-Closure Duration:*_x000d__x000a_** Skaičiuojamas skirtumas tarp Email Received in CRM Time ir Linked Object Closed On._x000d__x000a_** Skaičiuojamas tik jei objektas = Case arba Opportunity su statusu = Closed._x000d__x000a_** Vertė saugoma laukelyje TotalJourneyDuration._x000d__x000a_* *KPI rodikliai bus prieinami Dynamics rodiniuose, taip pat Power BI dataset'e per OData/Dataverse jungtį.*_x000d__x000a__x000d__x000a_*4. Apsauga ir prieigos teisės*_x000d__x000a_* „Queue Item History“ matomumas valdomas per security roles:_x000d__x000a_** Sprendinio apimtyje netaikoma: Pasirinktinai - Tik vartotojai su &quot;x&quot; rolėmis mato visus įrašus arba visi vartotojai mato visus įrašus_x000d__x000a_** Jeigu taikomos vartotojų rolės - Ne sistemos administratoriai ar aukščiausias teises turintys vartotojai gali matyti tik savo sukurtus ar su jais susijusius įrašus._x000d__x000a_* Sprendinio apimtyje netaikoma: Alternatyviai, formos laukai gali būti apsaugoti per &quot;Field Security Profile&quot; – nerodyti faktinių datų neautorizuotiems vartotojams (rodyti „****“)._x000d__x000a__x000d__x000a_*5. Įrašų gyvavimo ciklas*_x000d__x000a_* Įrašai automatiškai trinami po nustatyto termino – pvz. po 12 mėn. nuo įrašo sukūrimo._x000d__x000a_* Po trynimo įrašai nebebus prieinami Power BI ataskaitose._x000d__x000a_* Terminas konfigūruojamas sistemos 'Bulk delete job' parametro pagrindu._x000d__x000a__x000d__x000a_*6. Atvaizdavimas formose*_x000d__x000a_* „Queue Item Details“ forma papildoma sub-grid lentele „Queue Item History (Related Records)“._x000d__x000a_* Lentele rodoma:_x000d__x000a_** Data / Laikas_x000d__x000a_** Veiksmas (Created, Reassigned, Converted, Deleted)_x000d__x000a_** Vartotojas_x000d__x000a_** Nuo / Į eilę_x000d__x000a_** Susietas objektas - Case_x000d__x000a_** Susietas objektas - Opportunity_x000d__x000a_** Trukmė (sekundės/minutės/valandos)_x000d__x000a__x000d__x000a_*Modulis ir laukai:*_x000d__x000a__x000d__x000a_| Entity             | Field                     | Description                                             |_x000d__x000a_| ------------------ | ------------------------- | ------------------------------------------------------- |_x000d__x000a_| Queue Item History | Name                      | Automatinis pavadinimas (QueueItem + timestamp)         |_x000d__x000a_| Queue Item History | Action Type               | Veiksmo tipas (Created, Reassigned, Converted, Deleted) |_x000d__x000a_| Queue Item History | Performed By              | Vartotojas, atlikęs veiksmą                             |_x000d__x000a_| Queue Item History | Previously Performed      | Vartotojas, prieš tai atlikęs veiksmą                   |_x000d__x000a_| Queue Item History | Source Queue              | Pradinė eilė                                            |_x000d__x000a_| Queue Item History | Target Queue              | Nauja eilė                                              |_x000d__x000a_| Queue Item History | Related Queue Item        | Susietas Eilės įrašas                                   |_x000d__x000a_| Queue Item History | Related Email             | Susietas laiškas (Email entity)                         |_x000d__x000a_| Queue Item History | Related Case              | Susietas Case                                           |_x000d__x000a_| Queue Item History | Related Opportunity       | Susietas Opportunity                                    |_x000d__x000a_| Queue Item History | Queue Entry Time          | Laiško patekimo į eilę laikas                           |_x000d__x000a_| Queue Item History | Conversion Time           | Konvertavimo į objektą(Case/Opportunity) laikas         |_x000d__x000a_| Queue Item History | Object Closed On          | Susieto objekto uždarymo data                           |_x000d__x000a_| Queue Item History | QueueToConversionDuration | KPI_1 rezultatas                                        |_x000d__x000a_| Queue Item History | TotalJourneyDuration      | KPI_2 rezultatas                                        |_x000d__x000a__x000d__x000a_*Testavimo scenarijai:*_x000d__x000a__x000d__x000a_| # | Test Scenario                    | Input / Condition                      | Expected Result                                                                                |_x000d__x000a_| - | -------------------------------- | -------------------------------------- | ---------------------------------------------------------------------------------------------- |_x000d__x000a_| 1 | Naujas laiškas įkrenta į eilę    | Sukuriamas naujas Queue Item           | Sukuriamas Queue Item History įrašas su veiksmo tipu &quot;Created&quot;, fiksuojamas laikas            ir surišamas objektas su Queue Item įrašu |_x000d__x000a_| 2 | Laiškas perkeliamas į kitą eilę  | Queue Item reassigned to another queue | Atnaujinamas Queue Item History įrašas, susietas su Queue Item įrašu, su nurodytu senos ir naujos eilės ID, vartotoju ir laiku      |_x000d__x000a_| 3 | Queue Item konvertuojamas į Case | Queue Item -&gt; Case                     | Atnaujinamas Queue Item  History įrašas, susietas su Queue Item įrašu, į veiksmą  „Converted“, užfiksuojamas konversijos laikas, apskaičiuojamas KPI_1 |_x000d__x000a_| 4 | Case uždaromas                   | Case status = Resolved/Cancelled       | Atnaujinamas atitinkamas History įrašas su uždarymo laiku, skaičiuojamas KPI_2                 |_x000d__x000a_| 5 | Opportunity uždaromas            | Opportunnity status = Won/Lost         | Atnaujinamas atitinkamas History įrašas su uždarymo laiku, skaičiuojamas KPI_2                 |_x000d__x000a_| 6 | Duomenų šalinimo logika          | Įrašas senesnis nei 6 mėn.             | Įrašas automatiškai pašalinamas pagal nustatytą senaties logiką 'Bulk delete operation' sisteminėje operacijoje                               |_x000d__x000a__x000d__x000a_*Konfigūravimo rodikliai:*_x000d__x000a__x000d__x000a_| Parametras                  | Aprašymas                                                            | Standartas |_x000d__x000a_| --------------------------- | -------------------------------------------------------------------- | ---------- |_x000d__x000a_| QueueHistoryRetentionMonths | Kiek mėnesių saugomi istorijos įrašai                                | 6          |_x000d__x000a_| KPI_TimeUnit                | Laiko matavimo vienetas KPI skaičiavimui (Seconds / Minutes / Hours) | Minutės    |_x000d__x000a__x000d__x000a_*Laukų vertimai(EN &gt; LT):*_x000d__x000a__x000d__x000a_| Entity                     | Lauko Loginis Pavadinimas       | Pavadinimas (EN)             | Pavadinimas (LT)              | Aprašymas                                  |_x000d__x000a_| ------------------------------- | ----------------------------- | ------------------------ | -------------------------- | ------------------------------------------------------- |_x000d__x000a_| **Queue Item History (custom)** | new_name                      | Name                     | Pavadinimas                | Automatinis įrašo pavadinimas (Queue Item + timestamp)  |_x000d__x000a_|                                 | new_actiontype                | Action Type              | Veiksmo tipas              | Veiksmo tipas (Created, Reassigned, Converted, Deleted) |_x000d__x000a_|                                 | new_performedby               | Performed By             | Veiksmą atlikęs vartotojas | Asmuo, atlikęs veiksmą                                  |_x000d__x000a_|                                 | new_sourcequeue               | Source Queue             | Pradinė eilė               | Eilė, iš kurios įrašas buvo perkeltas                   |_x000d__x000a_|                                 | new_targetqueue               | Target Queue             | Nauja eilė                 | Eilė, į kurią įrašas buvo perkeltas                     |_x000d__x000a_|                                 | new_relatedemail              | Related Email            | Susijęs el. laiškas        | El. laiškas, su kuriuo susietas įrašas                  |_x000d__x000a_|                                 | new_relatedqueueitem          | Related Queue Item       | Susijęs eilės įrašas       | Nuoroda į susijusį Queue Item                           |_x000d__x000a_|                                 | new_relatedcase               | Related Case             | Susijusi užklausa          | Nuoroda į susijusį Case įrašą                           |_x000d__x000a_|                                 | new_relatedopportunity        | Related Opportunity      | Susijusi galimybė          | Nuoroda į susijusį Opportunity įrašą                    |_x000d__x000a_|                                 | new_queueentrytime            | Queue Entry Time         | Įkėlimo į eilę laikas      | Kada įrašas pateko į eilę                               |_x000d__x000a_|                                 | new_conversiontime            | Conversion Time          | Konvertavimo laikas        | Kada įrašas paverstas į objektą                         |_x000d__x000a_|                                 | new_objectclosedon            | Object Closed On         | Objekto uždarymo data      | Kada susietas objektas buvo uždarytas                   |_x000d__x000a_|                                 | new_queuetoconversionduration | Queue-to-Object Duration | Laikas iki konvertavimo    | Trukmė nuo eilės iki konvertavimo                       |_x000d__x000a_|                                 | new_totaljourneyduration      | Total Journey Duration   | Bendras kelionės laikas    | Trukmė nuo laiško patekimo į CRM iki uždarymo           |_x000d__x000a_|                                 | new_retentionexpirydate       | Retention Expiry Date    | Saugojimo termino pabaiga  | Kada įrašas bus automatiškai pašalintas                 |_x000d__x000a_| Entity                     | Lauko Loginis Pavadinimas       | Pavadinimas (EN)             | Pavadinimas (LT)              | Aprašymas                                  |_x000d__x000a_| ------------------------- | --------------------------- | ------------------------- | ------------------------------ | -------------------------------------------------------------- |_x000d__x000a_| **Queue Item (standard)** | new_kpi_queueconversiontime | Queue Conversion Duration | Laikas eilėje iki konvertavimo | KPI_1 – skirtumas tarp įėjimo į eilę ir konvertavimo į objektą |_x000d__x000a_|                           | new_kpi_totaljourneytime    | Total Journey Duration    | Bendras kelionės laikas        | KPI_2 – skirtumas nuo laiško patekimo iki uždarymo             |_x000d__x000a_|                           | new_relatedqueueitem        | Related Queue Item        | Susijęs eilės įrašas           | Nuoroda į Queue Item History įrašą                             |_x000d__x000a_| Entity                     | Lauko Loginis Pavadinimas       | Pavadinimas (EN)             | Pavadinimas (LT)              | Aprašymas                                  |_x000d__x000a_| ------------------- | ------------------------ | ---------------------- | ----------------------- | -------------------------------------------- |_x000d__x000a_| **Case (standard)** | new_relatedqueueitem     | Related Queue Item     | Susijęs eilės įrašas    | Nuoroda į Queue Item                         |_x000d__x000a_|                     | new_relatedopportunity   | Related Opportunity    | Susijusi galimybė       | Nuoroda į susietą Opportunity (jei taikoma)  |_x000d__x000a_|                     | new_kpi_totaljourneytime | Total Journey Duration | Bendras kelionės laikas | KPI nuo laiško gavimo iki užklausos uždarymo |_x000d__x000a_| Entity                     | Lauko Loginis Pavadinimas       | Pavadinimas (EN)             | Pavadinimas (LT)              | Aprašymas                                  |_x000d__x000a_| -------------------------- | ------------------------ | ---------------------- | ----------------------- | -------------------------------------------- |_x000d__x000a_| **Opportunity (standard)** | new_relatedqueueitem     | Related Queue Item     | Susijęs eilės įrašas    | Nuoroda į Queue Item                         |_x000d__x000a_|                            | new_relatedcase          | Related Case           | Susijusi užklausa       | Nuoroda į susietą Case                       |_x000d__x000a_|                            | new_kpi_totaljourneytime | Total Journey Duration | Bendras kelionės laikas | KPI nuo laiško gavimo iki galimybės uždarymo |_x000d__x000a__x000d__x000a__x000d__x000a_*Priklausomybės:*_x000d__x000a_* Queue ir Queue Item standartiniai moduliai._x000d__x000a_* Email, Case, Opportunity – sistemos moduliai, naudojami sąryšiui._x000d__x000a_* Power BI dataset integracija per Dataverse jungtį._x000d__x000a_* Plugin arba Power Automate flow veiksmai įrašų fiksavimui._x000d__x000a__x000d__x000a_*Prielaidos:*_x000d__x000a_* Laiškai visada paverčiami į Case arba Opportunity įrašą._x000d__x000a_* Konversijos įvykis vyksta per Dynamics 365 UI ar automatinį procesą._x000d__x000a_* Sistemoje įdiegtas server-side synchronization, užtikrinantis laiškų patekimo datų fiksavimą._x000d__x000a__x000d__x000a_*Neįtraukiama(Out of Scope):*_x000d__x000a_* Laiškų turinio fiksavimas ar atvaizdavimas._x000d__x000a_* Automatinis KPI vizualizavimas (atliekama Power BI pusėje)._x000d__x000a_* Istorinės (iki diegimo) eilės veiklos rekonstrukcija."/>
    <d v="2025-09-18T00:00:00"/>
    <d v="2025-11-07T00:00:00"/>
    <n v="30"/>
    <b v="0"/>
    <n v="13.5"/>
    <n v="13.5"/>
    <n v="6.5"/>
    <n v="6.5"/>
    <s v="[List]"/>
    <s v="2025-10-16T16:21:33Z"/>
    <m/>
    <n v="99743"/>
    <x v="0"/>
    <n v="4.05"/>
    <n v="0.6230769230769231"/>
  </r>
  <r>
    <n v="99742"/>
    <n v="512"/>
    <s v="LG-D365 CRM Project"/>
    <n v="2"/>
    <s v="Feature"/>
    <n v="18"/>
    <s v="Release"/>
    <b v="0"/>
    <n v="4"/>
    <s v="Normal"/>
    <n v="875"/>
    <s v="VilMat"/>
    <n v="875"/>
    <s v="VilMat"/>
    <n v="96214"/>
    <s v="FR3-SPRINT_1-014 - Queue/Queue Items &gt; Convert To Case - Konvertavimo lango laukų atvaizdavimo ir eilių įrašų paleidimo iš eilės modifikacijos"/>
    <s v="h1. Poreikis:_x000d__x000a__x000d__x000a_Eilės konvertavimo formoje atsirastų naujas pasirinkimas su numatytaja reikšme Taip, kuris laišką pasišalintų iš eilės. Dabar lieka ir reikia rankiniu būdu pašalinti._x000d__x000a__x000d__x000a_Siūlomas dizainas:_x000d__x000a_Automatizuotas sprendimas - Konversijos metu paleidžiama 'Remove' queue item funkcija, kurios pagalba eilės įrašas pašalinamas iš pastarosios eilės. Vartotojui nereikia žymėti jokių žymų, procesas vyksta numatyta tvarka be galimybės palikti įrašą eilėje._x000d__x000a_Kodo panaudojimas._x000d__x000a_Vertinimas: 4.5val._x000d__x000a__x000d__x000a_Papildomai:_x000d__x000a_Iš Convert to Case pop-up formos paslepiami/išimami laukeliai 'Create new Case' bei 'Change email to completed';_x000d__x000a_Numatyta tvarka laukų vertės nustatomos į 'Yes';_x000d__x000a_Vertinimas: 1val._x000d__x000a__x000d__x000a_h1. Patvirtintas poreikis:_x000d__x000a__x000d__x000a_Konvertavimo lange lieka šie laukai:_x000d__x000a_Klientas_x000d__x000a_Kontaktas_x000d__x000a_Tema_x000d__x000a_Potemė_x000d__x000a__x000d__x000a_Sukurti naują užklausą: Taip/Ne VM: Paslėpti laukus iš convert to case lango_x000d__x000a_Pakeiskite el.pašto būseną į Baigta ir uždarykite formą  VM: Paslėpti laukus iš convert to case lango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Queue Items_x000d__x000a_* Email Messages _x000d__x000a_* Convert To Case pop-up_x000d__x000a__x000d__x000a_*El.laiškai (Email Messages):*_x000d__x000a_* 'Convert To Case' langas po mygtuko paspaudimo:_x000d__x000a_** Išimamas/paslepiamas laukas 'Open the new case'_x000d__x000a_*** Lauko standartinė reikšmė nustatoma į 'Yes'_x000d__x000a_** Išimamas/paslepiamas laukas 'Change the Email status to Completed and close the form'_x000d__x000a_*** Lauko standartinė reikšmė nustatoma į 'Yes'_x000d__x000a_* Paspaudus mygtuką 'Confirm' sistema kreipiasi į 'Queue Items' modulį ir ten susietam 'Queue Item' įrašui atlieka 'Remove' funkciją_x000d__x000a_** Modifikacijos rezultatas: 'Convert to case' lange paspaudus 'Confirm' sistema pašalina susietą 'Queue Item' iš 'Queue', sukuria naują 'Case' įrašą, o laiškas padaromas/išlaikomas kaip 'Completed'_x000d__x000a__x000d__x000a_*Išimtys:*_x000d__x000a_* Jeigu 'Convert To case' lange paspaudus mygtuką 'Confirm' gaunama sisteminė klaida - nepašalinti 'Queue Item' iš 'Queue'_x000d__x000a_* Jeigu po 'Confirm' mygtuko paspaudimo 'Convert To Case' lange nesukuriamas 'Case' įrašas - nepašalinti 'Queue Item' iš 'Queue' "/>
    <d v="2025-09-18T00:00:00"/>
    <d v="2025-11-07T00:00:00"/>
    <n v="40"/>
    <b v="0"/>
    <n v="5.5"/>
    <n v="5.5"/>
    <n v="7"/>
    <n v="7"/>
    <s v="[List]"/>
    <s v="2025-10-16T16:19:00Z"/>
    <m/>
    <n v="99742"/>
    <x v="0"/>
    <n v="2.2"/>
    <n v="0.3142857142857143"/>
  </r>
  <r>
    <n v="99741"/>
    <n v="512"/>
    <s v="LG-D365 CRM Project"/>
    <n v="2"/>
    <s v="Feature"/>
    <n v="9"/>
    <s v="Ready for testing"/>
    <b v="0"/>
    <n v="4"/>
    <s v="Normal"/>
    <n v="875"/>
    <s v="VilMat"/>
    <n v="875"/>
    <s v="VilMat"/>
    <n v="96215"/>
    <s v="FR3-SPRINT_1-013 - Email Messages &gt; Laiško peržiūros statuso laukelio kūrimas, Flow kūrimas, Timeline Email card modifikavimas,  Pranešimų siuntimas eilėje nurodytai komandai."/>
    <s v="h1. Poreikis:_x000d__x000a__x000d__x000a_Kai įkrenta naujas laiškas į eilę:_x000d__x000a_* Turi būti požymis, kad naujas laiškas (pasikeitusi spalva, bold, statusas)_x000d__x000a_* Atsirasti nortification, kad atėjo laiškas. _x000d__x000a_* Koks požymis galėtų būti vartotojui, kad tai naujas/neskaitytas laiškas_x000d__x000a__x000d__x000a_h1. Patvirtintas poreikis:_x000d__x000a__x000d__x000a_* Kai eilėje atsiranda naujas laiškas, statusas rodinio eilutėje pasidaro &quot;Naujas&quot;. Uždedama foninė spalva 'Mėlyna'._x000d__x000a_* Atsidarius laišką statusas rodinyje pasikeičia į 'Perskaitytas'. Foninė spalva pakeičiama į 'Žalia'._x000d__x000a_* Pačiame laiške užkeisti &quot;Terminą&quot; su &quot;Statusu&quot;(naujas laukas)(Svarbiausios informacijos sektorius)._x000d__x000a_* Pačiame laiške paslėpti lauką 'Savininkas'._x000d__x000a__x000d__x000a_*Pranešimų siuntimo eilėje priskirtos komandos nariams sprendimas:*_x000d__x000a_*Laiškų pranešimai pateikiami CRM - Sisteminio pranešimo pagrindu*_x000d__x000a_* Eilės įraše sukuriamas naujas laukas skirtas nurodyti pranešimų gavimo komandą._x000d__x000a_* Komandos priskiriamos eilėms._x000d__x000a_* Sukuriamas foninis flow procesas, kuris pasileidžia, kai prie eilės priskiriamas naujas eilės įrašas(el.laiškas)._x000d__x000a_* Flow procesas sugeneruoja pranešimą komandos nariams į sistemos pranešimų panelę. MS Teams nereikia siųsti pranešimų._x000d__x000a_*Apie pranešimų tekstų atvaizduojamą informaciją informuoti užsakovą priėjus prie užduoties vykdymo.*_x000d__x000a__x000d__x000a_* Jeigu įmanoma padaryti naują laiško įrašo būklės laukelį matomą Timeline kortelėje (Timeline kortelės korekcijos)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Queue Items_x000d__x000a_* Queues_x000d__x000a_* Email Messages_x000d__x000a_* Case_x000d__x000a_* Opportunity_x000d__x000a_* Account_x000d__x000a_* Contact_x000d__x000a__x000d__x000a_*El.laiškai (Email Messages):*_x000d__x000a_* Sukuriamas naujas choice tipo laukelis 'Email Read Status' ('Perskaitymo statusas')_x000d__x000a_* Sukuriamas naujas globalusis pasirinkimų komponentas skirtas naudoti modulių įrašų kūrime._x000d__x000a_** Komponento pasirinkimai:_x000d__x000a_** Unread (LT: Neskaitytas) (Spalva: Mėlyna)_x000d__x000a_** Read (LT: Perskaitytas) (Spalva: Žalia)_x000d__x000a_* Standartinė laukelio reikšmė nustatoma į 'Unread'_x000d__x000a__x000d__x000a_* El.laiškų pagrindinėje formoje (main form) įterpiamas 'Email Read Status' laukelis komponento 'OptionSet Wrapper' pagrindu (atvaizduoti pasirinkimą su spalvine gama)_x000d__x000a_* El. laiškų pagrindinėje formoje (main form) paslepiamas laukas 'Owner'(LT: Sąvininkas)_x000d__x000a_* Peržiūrimi atvaizduojami sisteminiai el.laiškų modulio rodiniai ('views') ir jeigu yra, iš jų pašalinamas stulpelis 'Owner'._x000d__x000a_* Sukuriama nauja verslo taisyklė:_x000d__x000a_** 'Email Read Status' laukelis atvaizduojamas tik tuo atveju, kai Email Message įrašo laukas 'Direction' lygus vertei 'Incoming'. Jeigu 'Outgoing' -&gt; Laukelis slepiamas._x000d__x000a_** Jeigu 'Direction' lygu 'Incoming' &gt; Atvaizduoti lauką 'Email Read Status'_x000d__x000a_** Kitu atveju &gt; Slėpti_x000d__x000a_* Sukuriama nauja verslo taisyklė:_x000d__x000a_** Jeigu 'Direction' lygu 'Outgoing' &gt; Nustatyti &quot;Email Read Status' vertę į 'Read'_x000d__x000a_** Kitu atveju &gt; nedaroma nieko_x000d__x000a__x000d__x000a_* Sukuriama JS OnLoad funkcija:_x000d__x000a_** Funkcija veikia kai vartotojas atidaro el.laiškų modulio įrašą_x000d__x000a_** Funkcija veikia tik su tais 'Email message' įrašais, kurių 'Direction' lygus 'Incoming'_x000d__x000a_** Atvėrus 'email message' įrašą sistema patikrina ar 'Direction' lygu 'Incoming' ir jeigu taip, pakeičia laukelio 'Email Read Status' vertę iš 'Unread' į 'Read'_x000d__x000a_** Rezultatas: Atidarius email įrašą laukelio 'Email Read Status' vertė lygi 'Read'_x000d__x000a__x000d__x000a_* Sukuriamas naujas mygtukas 'Change to Unread'(LT: 'Padaryti neperskaitytu')_x000d__x000a_** Mygtukas patalpinamas tarp 'Forward' ir 'Save' mygtukų_x000d__x000a_** Mygtuko funkcionalumas veikia kodo pagrindu:_x000d__x000a_*** Paspaudus mygtuką pirmiausia iškviečiamas naujas pop-up langas su užrašu &quot;Are you sure?&quot;(LT: Esate įsitikinę savo veiksmu?) ir apačioje esančiais dviem mygtukais &quot;Confirm/Cancel&quot;(LT: Patvirtinti/Atšaukti)_x000d__x000a_*** Paspaudus mygtuką &quot;Cancel&quot; atšaukiamas pop-up langas ir nieko nedaroma_x000d__x000a_*** Paspaudus mygtuką &quot;Confirm&quot; inicijuojamas JS kodas, kuris el.laiško laukeliui 'Email Read Status' pakeičia vertę iš Read (LT: Perskaitytas) į Unread (LT: Neskaitytas) (Spalva: Mėlyna)_x000d__x000a_*** Teigiamas rezultatas: El.laiškų modulio įrašo lauko 'Email Read Status' tampa 'Unread'_x000d__x000a__x000d__x000a_*Eilės (Queues):*_x000d__x000a_* Sukuriamas naujas lookup tipo laukelis &quot;Notfications Team&quot; (LT: Pranešimų komanda) žvelgiantis į 'Komandų(Teams)' modulį._x000d__x000a_* Laukelis pridedamas į 'Queue' modulio pagrindinę formą (Main form)_x000d__x000a__x000d__x000a_*Eilių įrašai (Queue Items):*_x000d__x000a_* Queue Items moduliui suaktyvinamas ir sukonfigūruojamas 'Power Apps grid control' funkcionalumas_x000d__x000a_* Rodiniai -&gt; Rodinys &quot;All Items&quot; -&gt; Pridedamas papildomas stulpelis 'Email Read Status' ('Perskaitymo statusas') iš 'Email messages' modulio_x000d__x000a__x000d__x000a_* Sukuriamas naujas flow procesas 'Queue Items - System Notification to Team about incoming email message'_x000d__x000a_* Flow veikimo pagrindas:_x000d__x000a_** Į CRM sistemą sinchronizuojamas naujas el.laiškas ir priskiriamas vienai iš egzistuojančių public 'Queue'_x000d__x000a_*** Ar 'Queue' yra 'public' nustatoma pagal lauką 'Type', kurio reikšmės lygios 'Public'/'Private'_x000d__x000a_** Pasileidžia flow procesas ir tikrina ar laiško 'Queue' yra 'Public' pagal 'Type' lauką_x000d__x000a_** Jeigu 'Queue' modulio lauko 'Type' reikšmė lygi 'Private' &gt; nedaro nieko ir užbaigia procesą su rezultatu 'Queue is private'._x000d__x000a_** Jeigu 'Queue' modulio lauko 'Type' reikšmė lygi 'Public':_x000d__x000a_*** Tikrina priskirtoje 'Queue', kokia nurodyta komanda laukelyje &quot;Notfications Team&quot;_x000d__x000a_*** Jeigu lauke nenurodyta komanda &gt; Nedaro nieko ir užbaigia flow procesą su rezultatu 'No Team specified'_x000d__x000a_*** Jeigu lauke nurodyta komanda &gt; Paima toje komandoje nurodytus komandos narius ir jiems išsiunčia 'System Notification' pranešimą_x000d__x000a_* *System Notification pranešimo turinys:*_x000d__x000a_** Pranešimo tema: 'Eilėje gautas naujas laiškas'_x000d__x000a_** Pranešimo papildomi komentarai: _x000d__x000a_*** Gautas: XXX (nurodoma 'Created On' data iš el.laiško įrašo)_x000d__x000a_*** Siuntėjas: XXX (nurodomas 'From' iš el.laiško įrašo)_x000d__x000a_** Aktyvus mygtukas nukreipia į priskirtą 'Email' įrašą_x000d__x000a__x000d__x000a_*Užklausos (Cases):*_x000d__x000a_* Pamodifikuojama 'Email message' kortelė atvaizduojama Timeline kanale:_x000d__x000a_** Iš kortelės išimamas 'Status' laukelis_x000d__x000a_** Į kortelę pridedamas 'Email Read Status' laukelis_x000d__x000a__x000d__x000a_*Galimybės (Opportunties):*_x000d__x000a_* Pamodifikuojama 'Email message' kortelė atvaizduojama Timeline kanale:_x000d__x000a_** Iš kortelės išimamas 'Status' laukelis_x000d__x000a_** Į kortelę pridedamas 'Email Read Status' laukelis_x000d__x000a__x000d__x000a_*Klientai (Account):*_x000d__x000a_* Pamodifikuojama 'Email message' kortelė atvaizduojama Timeline kanale:_x000d__x000a_** Iš kortelės išimamas 'Status' laukelis_x000d__x000a_** Į kortelę pridedamas 'Email Read Status' laukelis_x000d__x000a__x000d__x000a_*Kontaktai (Contacts):*_x000d__x000a_* Pamodifikuojama 'Email message' kortelė atvaizduojama Timeline kanale:_x000d__x000a_** Iš kortelės išimamas 'Status' laukelis_x000d__x000a_** Į kortelę pridedamas 'Email Read Status' laukelis_x000d__x000a__x000d__x000a_*Vertimai:*_x000d__x000a_* 'Email Read Status' &gt; 'Perskaitymo statusas'_x000d__x000a_** 'Unread' &gt; 'Neskaitytas' (Spalva: Mėlyna)_x000d__x000a_** 'Read' &gt; 'Perskaitytas' (Spalva: Žalia)_x000d__x000a_* 'Notfications Team' &gt; 'Pranešimų komanda'_x000d__x000a_* Mygtukas 'Change to Unread' &gt; 'Padaryti neperskaitytu'_x000d__x000a_* Pop-up langas su užrašu &quot;Are you sure?&quot; &gt; 'Esate įsitikinę savo veiksmu?'_x000d__x000a_** Pop-up lango pasirinkimai 'Confirm/Cancel' &gt; 'Patvirtinti/Atšaukti'"/>
    <d v="2025-09-18T00:00:00"/>
    <d v="2025-11-07T00:00:00"/>
    <n v="50"/>
    <b v="0"/>
    <n v="13"/>
    <n v="13"/>
    <n v="13.5"/>
    <n v="13.5"/>
    <s v="[List]"/>
    <s v="2025-10-16T16:13:01Z"/>
    <m/>
    <n v="99741"/>
    <x v="0"/>
    <n v="6.5"/>
    <n v="0.4814814814814815"/>
  </r>
  <r>
    <n v="99740"/>
    <n v="512"/>
    <s v="LG-D365 CRM Project"/>
    <n v="2"/>
    <s v="Feature"/>
    <n v="2"/>
    <s v="In Progress"/>
    <b v="0"/>
    <n v="4"/>
    <s v="Normal"/>
    <n v="875"/>
    <s v="VilMat"/>
    <n v="875"/>
    <s v="VilMat"/>
    <n v="96214"/>
    <s v="FR3-SPRINT_1-012 - Queue/Queue Items &gt; Eilių rodinių modifikacijos, laukų vertimai"/>
    <s v="h1. Poreikis:_x000d__x000a__x000d__x000a_Padaryti eilės sisteminį rodinį toks kaip dabar yra sukurtas rankiniu būdu ant dabartinio Visi Elementai._x000d__x000a_Įvesta eilė (Laiško įkritimo laikas) - čia turi fiksuotis, kada įkrito laiškas, nesvarbu ar buvo perkeltas iš kitos eilės._x000d__x000a_Pavadinimas (Laiško subjectas)_x000d__x000a_Apie (Objektas) - ar galima pervadinti, kad aiškiau suprasti, kad jau yra susietas su CRM objektu?_x000d__x000a_Kas dirbo (kas prisiskyrė laišką)_x000d__x000a_Kas pateikė (siuntėjas)_x000d__x000a_Siuntėjo klientas (Klientas, jeigu kontaktas yra priskirtas prie kliento)_x000d__x000a_Komentarai (Objektas) - Matosi laiško turinys_x000d__x000a_Kam (Objektas) - matosi, kam buvo adresuotas laiškas (Tik įtraukti TO eilutėje)_x000d__x000a_Eilė - Eilė, kurioje yra laiškas_x000d__x000a__x000d__x000a_Pridėti stulpelį segmentas_x000d__x000a__x000d__x000a_Ar galima keisti stulpelių pavadinimus?_x000d__x000a_Ką galima padaryti, kad patogiau matytųsi komentaro stulpelis t.y. aiškiau skaitytųsi laiško turinys neužėjus į vidų? - pertikrinti_x000d__x000a_Kaip padaryti, kad jeigu laiškas perkeltas iš kitos eilės, matytųsi kas ir kada perkėlė. _x000d__x000a_Ar įmanoma Žymėti laiškus rankiniu būdu (keičiant spalvą, uždedant šauktuką ar pan.)_x000d__x000a_Žymėti/ išskirti laiškus automatiškai pagal tam tikrą požymį, kaip pvz. TOP segmentų klientų laiškai būtų žymimi raudona spalva ar atsirastų šauktumas ar pan._x000d__x000a__x000d__x000a_h1. Patvirtintas poreikis:_x000d__x000a__x000d__x000a_*Objektas:  Eilės*_x000d__x000a_* Sutvarkyti rodinius (kaip veikia pateikti rodiniai, jeigu neaktualu, juos panaikinti)_x000d__x000a_* Sisteminio rodinio sukūrimas (Pagal dabar Eglės M. sukurtą Visi elementai/Pilnas sąrašas). Reikalinga pervadint nurodytų laukelių vertimus į LT kalbą)._x000d__x000a_** Statusas (*Pritraukti naują lauką*) - Naujas/ perskaitytas._x000d__x000a_** Gauta (dabar Įvesta eilė (Entered Queue) - turi rodyti laiką, kada atsirado eilėje)_x000d__x000a_** Tema (Pavadinimas (Title) - turi rodyti laiško temą (subject'ą)_x000d__x000a_** Susiję (dabar Apie Objektas (Regarding (Object) - turi rodyti su kokiu objektu susijęs laiškas)_x000d__x000a_** Užklausos savininkas (*Pritraukti naują lauką* - rodyti užklausos savininką)_x000d__x000a_** Kas dirba (dabar Kas dirbo (Worked By) - turi rodyti, jeigu prisiskiria sau laišką)_x000d__x000a_** Nuo (dabar Kas pateikė (Objektas) (Submitted By (Object) - rodyti kas atsiuntė laišką el.paštas)_x000d__x000a_** Siuntėjo Klientas (dabar Siuntėjo Klientas (Objektas) Senders Account (Object) - rodyti Klientą pagal siuntėją)_x000d__x000a_** Segmentas (*Pritraukti naują lauką*) - rodyti kliento segmentą, *naujas laukas*._x000d__x000a_** Laiško turinys (dabar Komentarai (Objektas) (Description (Object)- užėjus ant įrašo rodo laiško turinį)_x000d__x000a_** Kam (dabar Kam (Objektas) (To (Object) - užėjus ant įrašo rodo 'TO' eilutės adresatus)_x000d__x000a_** Pirminė Eilė (*Pritraukti naują lauką* - rodytų eilę/eiles į kurią eilę atėjo laiškas)_x000d__x000a__x000d__x000a_* Papildomi stulpeliai, kurie atsiras, dėl laiškų judėjimo stebėjimo (Nauji eilių įrašų detalių laukeliai VILINTAS) -&gt; *Pridedami į rodinio pabaigą*_x000d__x000a__x000d__x000a_* *Eilių įrašų žymėjimas ikonėlėmis - Nedaromas.*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Modulis &quot;Queue Items&quot;_x000d__x000a__x000d__x000a_* Queue Items modulis:_x000d__x000a_** Rodiniai (views):_x000d__x000a_*** Paslepiami visi sisteminiai rodiniai išskyrus &quot;All Items&quot;, kuriam atliekamos korekcijos._x000d__x000a_*** All Cases in Selected Queues_x000d__x000a_*** Cases Available to Work on_x000d__x000a_*** Cases Created This Week_x000d__x000a_*** Cases I am Working On_x000d__x000a_*** Items available to work on_x000d__x000a_*** Items I am working on_x000d__x000a_*** Replies to My Cases_x000d__x000a_!clipboard-202510221754-tmwer.png!_x000d__x000a__x000d__x000a_** Rodiniai (views):_x000d__x000a_** Redaguojamas sisteminis rodinys &quot;All Items&quot;(LT. Visi elementai):_x000d__x000a_*** Email Status (Email modulis) (Pritraukiamas naujai sukurtas laukas)_x000d__x000a_*** Entered Queue_x000d__x000a_*** Title_x000d__x000a_*** Regarding(Object)_x000d__x000a_*** Owner (Case)_x000d__x000a_*** Worked By_x000d__x000a_*** Submitted By (Object)_x000d__x000a_*** Senders Account (Object)_x000d__x000a_*** Segment (Reikia atvaizduoti kliento segmentą)(Pritraukiamas laukas)_x000d__x000a_*** Description (Object)_x000d__x000a_*** To (Object)_x000d__x000a_*** Initial Queue (Queue)(Pritraukiamas naujai sukurtas laukas)_x000d__x000a_*** *Papildomi laukeliai laiškų judėjimo stebėjimui (Naujai sukurti Queue Items detalių laukai)*_x000d__x000a__x000d__x000a_* Vertimai (Queue Items modulis):_x000d__x000a_** Rodinys: All Items &gt; All Queue Items (LT. Visi elementai &gt; Pilnas sąrašas)_x000d__x000a_*** Email Status (Email modulis) (Pritraukiamas naujai sukurtas laukas) - LT. Statusas_x000d__x000a_*** Entered Queue - Įvesta eilė &gt; Gauta_x000d__x000a_*** Title - Pavadinimas &gt; Tema_x000d__x000a_*** Regarding(Object) - Apie Objektas &gt; Susiję_x000d__x000a_*** Owner (Case) - Užklausos savininkas &gt; Užklausos savininkas (Pritraukiamas laukas)_x000d__x000a_*** Worked By - Kas dirbo &gt; Kas dirba?_x000d__x000a_*** Submitted By (Object) - Kas pateikė (Objektas) &gt; Nuo_x000d__x000a_*** Senders Account (Object) - Siuntėjo Klientas (Objektas) &gt; Siuntėjo Klientas_x000d__x000a_*** Segment (???) -&gt; Segmentas (Reikia atvaizduoti kliento segmentą)(Pritraukiamas laukas)_x000d__x000a_*** Description (Object) - Komentarai (Objektas) &gt; Laiško turinys_x000d__x000a_*** To (Object) - Kam (Objektas) &gt; Kam_x000d__x000a_*** Initial Queue (Queue) - Pirminė eilė &gt; Pirminė eilė (Pritraukiamas naujai sukurtas laukas)_x000d__x000a__x000d__x000a_"/>
    <d v="2025-09-18T00:00:00"/>
    <d v="2025-11-07T00:00:00"/>
    <n v="0"/>
    <b v="0"/>
    <n v="10"/>
    <n v="10"/>
    <n v="4.5"/>
    <n v="4.5"/>
    <s v="[List]"/>
    <s v="2025-10-16T16:09:44Z"/>
    <m/>
    <n v="99740"/>
    <x v="0"/>
    <n v="0"/>
    <n v="0"/>
  </r>
  <r>
    <n v="99739"/>
    <n v="512"/>
    <s v="LG-D365 CRM Project"/>
    <n v="2"/>
    <s v="Feature"/>
    <n v="9"/>
    <s v="Ready for testing"/>
    <b v="0"/>
    <n v="4"/>
    <s v="Normal"/>
    <n v="875"/>
    <s v="VilMat"/>
    <n v="875"/>
    <s v="VilMat"/>
    <n v="96214"/>
    <s v="FR3-SPRINT_1-011 - Queue/Queue Items &gt; Atliekant 'Convert To Case' veiksmą patikrinti ar nėra jau sukurta užklausa (Case)"/>
    <s v="h1. Poreikis:_x000d__x000a__x000d__x000a_Šiuo metu, kai vienu metu su eilėmis dirba ne vienas žmogus, jei jis neperkrauna sistemos tuo pat metu gali vieną laišką paversti užklausą ir su ja dirbti du ar keli žmonės. Taip yra dubliuojama, sugeneruojami papildomi tie patys laiškai kitiems skyriams ir tada neužtikrinamas efektyvumas. Galėtų turėti realiu laiku fiksavimą, jog kai nori konvertuoti užklausą išmestų pranešimą, jog su šitu laišku dirba x žmogus, arba bent rodytų, jog keli žmonės peržiūri laišką._x000d__x000a_Jeigu konvertuoja tą patį laišką du žmonės rodytų pranešimą, kad šis laiškas jau turi užklausą. _x000d__x000a__x000d__x000a_h1. Patvirtintas poreikis:_x000d__x000a__x000d__x000a_Sprendimo pasiūlymas:_x000d__x000a_* Galima įtraukti papildomą prevenciją, kad konversijos metu į užklausą/galimybę būtų patikrinama ar šis laiškas jau nėra priskirtas konkrečiai užklausai/galimybei ir jeigu yra - išmestų klaidos pranešimą su mygtuku 'OK' ir atšauktų konversiją._x000d__x000a_Reziumuotas patvirtinimas iš kliento:_x000d__x000a_* Kai vienu metu iš vieno laiško konvertuojama į objektą, sistema užfiksuoja ir sekančiam rodo klaidą užrašu &quot;Klaida. CRM objektas jau sukurtas kito vartotojo&quot;_x000d__x000a__x000d__x000a_h1. Atliekamos modifikacijos:_x000d__x000a__x000d__x000a_*&lt;pre&gt;_x000d__x000a_Modifikacijų sprendinio šaltinis: LTG_CRM - #96210 FR3-SPRINT1 System Customizations_x000d__x000a_&lt;/pre&gt;*_x000d__x000a__x000d__x000a_*Convert To Case custom langas:*_x000d__x000a_* Atliekama kodo korekcija_x000d__x000a_* Po mygtuko 'Confirm' paspaudimo pirmiausia patikrinti sistemoje ar nėra su pasirinktu 'Email' jau susietas 'Case' įrašas_x000d__x000a_* Tikrinama, pagal Email GUID_x000d__x000a_* Sistema ieško Email turi pririštą 'Case' pagal 'Regarding' laukelį_x000d__x000a_* Jeigu neranda:_x000d__x000a_** Vykdo veiksmus esama tvarka - sukuria naują užklausą_x000d__x000a_* Jeigu randa:_x000d__x000a_** Vartotojui iššaukiamas naujas klaidos langas_x000d__x000a_*** Lango viduje atvaizduojamas tekstas EN: Error. Case record already created by another user ; LT: Klaida. CRM objektas jau sukurtas kito vartotojo_x000d__x000a_*** Klaidos lange atvaizduojamas vienas mygtukas 'Confirm'(LT: Patvirtinti)_x000d__x000a_** Po 'Confirm' mygtuko paspaudimo 'Case' įrašo kūrimas atšaukiamas_x000d__x000a_** Priklausomai nuo galimybių, jeigu įmanoma - 'Convert To Case' langas išlaikomas su pasirinkimais. Jeigu neįmanoma - 'Convert To Case' langas uždaromas_x000d__x000a__x000d__x000a_Rezultatas:_x000d__x000a_* Kuomet vartotojas iš laiško įrašo paspaudžia mygtuką 'Convert To Case' ir iššokusiame lange spaudžia mygtuką 'Confirm' sistema pirmiausia patikrina ar nėra tam laiškui jau sukurtas 'Case' įrašas. Jeigu nėra - sukuria naują 'Case' įrašą ir atveria 'case' įrašo langą. Jeigu yra - Išmeta klaidos pranešimą ir atšaukia 'Case' įrašo kūrimą"/>
    <d v="2025-09-18T00:00:00"/>
    <d v="2025-11-07T00:00:00"/>
    <n v="30"/>
    <b v="0"/>
    <n v="5"/>
    <n v="5"/>
    <n v="4.5"/>
    <n v="4.5"/>
    <s v="[List]"/>
    <s v="2025-10-16T15:52:13Z"/>
    <m/>
    <n v="99739"/>
    <x v="0"/>
    <n v="1.5"/>
    <n v="0.3333333333333333"/>
  </r>
  <r>
    <n v="99738"/>
    <n v="512"/>
    <s v="LG-D365 CRM Project"/>
    <n v="2"/>
    <s v="Feature"/>
    <n v="1"/>
    <s v="New"/>
    <b v="0"/>
    <n v="4"/>
    <s v="Normal"/>
    <n v="875"/>
    <s v="VilMat"/>
    <n v="875"/>
    <s v="VilMat"/>
    <n v="99737"/>
    <s v="FR3-SPRINT_1-010 - Global Settings &gt; Globalioje paieškoje filtruoti pagal įmonės kodą"/>
    <s v="h1. Poreikis:_x000d__x000a__x000d__x000a_Kliento ieškoti bendroje paieškoje ir pagal įmonės kodą, dabar ieško tik pagal pavadinimą_x000d__x000a__x000d__x000a_h1. Patvirtintas poreikis:_x000d__x000a__x000d__x000a_Global Search &gt; Pridėti papildomą paieškos rodiklį (įmonės kodas)_x000d__x000a__x000d__x000a_h1. Atliekamos modifikacijos:_x000d__x000a__x000d__x000a_*&lt;pre&gt;_x000d__x000a_Modifikacijų sprendinio šaltinis: LTG_CRM - #96210 FR3-SPRINT1 System Customizations_x000d__x000a_&lt;/pre&gt;*_x000d__x000a__x000d__x000a_*Globalieji nustatymai:*_x000d__x000a_* Į globalios paieškos nustatymus įtraukiamas papildomas filtras galėti ieškoti įrašų, pagal 'Company code'(LT: įmonės kodas) laukelį."/>
    <d v="2025-09-18T00:00:00"/>
    <d v="2025-11-07T00:00:00"/>
    <n v="0"/>
    <b v="0"/>
    <n v="1.5"/>
    <n v="1.5"/>
    <n v="0.5"/>
    <n v="0.5"/>
    <s v="[List]"/>
    <s v="2025-10-16T15:33:44Z"/>
    <m/>
    <n v="99738"/>
    <x v="0"/>
    <n v="0"/>
    <n v="0"/>
  </r>
  <r>
    <n v="99737"/>
    <n v="512"/>
    <s v="LG-D365 CRM Project"/>
    <n v="2"/>
    <s v="Feature"/>
    <n v="2"/>
    <s v="In Progress"/>
    <b v="0"/>
    <n v="4"/>
    <s v="Normal"/>
    <n v="875"/>
    <s v="VilMat"/>
    <n v="875"/>
    <s v="VilMat"/>
    <n v="96210"/>
    <s v="FR3-SPRINT_1-000 - Global Settings (Bendriniai nustatymai)"/>
    <s v="*Sistemos apimtyje atliekami su klientu pasitvirtinti pirmo prioriteto darbai*_x000d__x000a__x000d__x000a_&lt;pre&gt;_x000d__x000a_Darbai atliekami sprendinyje pavadinimu: LTG_CRM - #96210 FR3-SPRINT1 System Customizations_x000d__x000a_&lt;/pre&gt;"/>
    <d v="2025-09-15T00:00:00"/>
    <d v="2025-11-07T00:00:00"/>
    <n v="0"/>
    <b v="0"/>
    <m/>
    <n v="1.5"/>
    <n v="0"/>
    <n v="0.5"/>
    <s v="[List]"/>
    <s v="2025-10-16T15:27:57Z"/>
    <m/>
    <n v="99737"/>
    <x v="0"/>
    <n v="0"/>
    <n v="0"/>
  </r>
  <r>
    <n v="99736"/>
    <n v="512"/>
    <s v="LG-D365 CRM Project"/>
    <n v="2"/>
    <s v="Feature"/>
    <n v="1"/>
    <s v="New"/>
    <b v="0"/>
    <n v="4"/>
    <s v="Normal"/>
    <n v="875"/>
    <s v="VilMat"/>
    <n v="875"/>
    <s v="VilMat"/>
    <n v="96213"/>
    <s v="FR3-SPRINT_1-009 - Case &gt; Užklausos main formos vizualinio atvaizdavimo modifikacijos, naujo rodinio kūrimas"/>
    <s v="h1. Poreikis:_x000d__x000a__x000d__x000a_Ar galima keisti laiko juostos išdėstymą. Aiškiau atskirti kur yra laiškai, kurs kiti veiksmai, kurs sisteminiai pranešimai. Platesnis matymas be praplėtimo._x000d__x000a_Filtravimo galimybės_x000d__x000a_Eglė Papildymas:_x000d__x000a_Yra dvi dalys:_x000d__x000a_1.Individualus Filtro nustatymas laiko juostoje (komunikacija dalyje). Kad vartotas galėtų pats nusistatyti ką nori matyti visų objektų laiko juostose (vartotojo lygemenyje, nenustatant visiems). Rūšiavimas pagal datą., Rodyti laiškus kaip pokalbį, kaip atskirus pranešimus. Filtruoti, kad rodytų pagal pasirinkitą veiklos tipą (pvz,: tik laiškus (Ateinantys, išeinantys, juodrasčiai), be sisteminių pranešimų, tiks isteminius pranešimus, tik skambučius_x000d__x000a_*2. Užklausoje santraukoje perdėlioti atskirų blokų išdėstymą, kas padėtų plačiau matyti komunikacijos dalį (reikės konsultacijos)*_x000d__x000a__x000d__x000a__x000d__x000a_h1. Patvirtintas poreikis:_x000d__x000a__x000d__x000a_*Užklausos atvaizdavimo keitimas/eiliškumas:*_x000d__x000a_* *Skirtukas &quot;Santrauka&quot;(Summary):*_x000d__x000a_** Užklausos detalės - viskas taip pat. Keičiamas vietos užimamumas į 1/3, _x000d__x000a_** Komunikacija - keičiamas vietos užimamumas į 2/3_x000d__x000a_** Atvejo suvestinė - perkeliama virš komunikacijos_x000d__x000a_** Pagalba - perkeliama po komunikacija_x000d__x000a_** Susiję su užklausa -  perkeliama po Užklausos detalės_x000d__x000a_* *Skirtukas - Vidinės užduotys - nekeičiama(vidus liekas tas pats)*_x000d__x000a_* *Skirtukas - Dokumentai - nekeičiamas(vidus lieka tas pats)*_x000d__x000a_* *Skirtukas - Kliento 360:*_x000d__x000a_** Įtraukti, kad rodytų ir užklausas sukurtas tam pačiam klientui (Naujas subgrid, antras nuo viršaus)_x000d__x000a_** Užklausų dalyje rodytų - užklausos numerį, užklausos pavadinimas, būseną,  Kreipinio tema, kreipinio potemė, sukūrimo datą, savininką, Klientą_x000d__x000a_** Eiliškumas būtų: sutartys, užklausos, galimybės_x000d__x000a_** Rodytų visas užklausas_x000d__x000a_** Užklausų Sub-lentelėje galėti filtruoti pagal būseną._x000d__x000a_*** Rodytų pagal sukūrimo datą nuo naujausio iki seniausio._x000d__x000a_** Galimybių dalyje rodytų pagal sukūrimo datą nuo naujausio iki seniausio._x000d__x000a_** Sub-lentelėje Galimybės, užkeičiame lauką Potencialus klientas į Klientas._x000d__x000a_* *SLA skirtukas - pagal pateiktą poreikį SLA poreikyje #99735 *_x000d__x000a__x000d__x000a_* *Susiję įrašai  - vaizdavimas/ slėpimas:*_x000d__x000a_** Tikrinimo retrospektyva - rodomas_x000d__x000a_** Veiklos - rodomas_x000d__x000a_** Atvejo valdymo agento..... -  Paslėpti_x000d__x000a_** Suminiai proceso etapų laikai  - Paslėpti_x000d__x000a_** Paskesni veiksmai - Paslėpti_x000d__x000a__x000d__x000a_*Case &gt; Timeline &gt; email &gt; nerodyti įrašo statuso. (email form korekcija).*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Case modulis_x000d__x000a__x000d__x000a_*Case atvaizdavimo keitimas/eiliškumas:*_x000d__x000a_* *Skirtukas &quot;Santrauka&quot;(Summary):*_x000d__x000a_** Užklausos detalės - išdėstymas nekeičiamas. Keičiamas vietos užimamumas į 1/3; _x000d__x000a_** Komunikacija - keičiamas vietos užimamumas į 2/3_x000d__x000a_** Atvejo suvestinė - perkeliama virš komunikacijos_x000d__x000a_** Pagalba - perkeliama po komunikacija_x000d__x000a_** Susiję su užklausa -  perkeliama po Užklausos detalės_x000d__x000a_* *Skirtukas - Vidinės užduotys - nekeičiama*_x000d__x000a_* *Skirtukas - Dokumentai - nekeičiamas*_x000d__x000a__x000d__x000a_* *Skirtukas - Kliento 360:*_x000d__x000a_** *Išdėstymas:* Agreements, Cases, Opportunities_x000d__x000a_** Sukuriamas naujas case rodinys(view) pavadinimu &quot;All Cases Related to Account&quot;(LT: Visos užklausos susijusios su klientu):_x000d__x000a_*** Rodinys atvaizduoja visas užklausas_x000d__x000a_*** Rodinys atvaizduoja eilutes pagal sukūrimo datą nuo naujausio iki seniausio._x000d__x000a_*** Rodinio(view) stulpelių atvaizdavimas - užklausos numeris, užklausos pavadinimas, būseną, kreipinio tema, kreipinio potemė, sukūrimo datą, savininkas, Klientas_x000d__x000a_** Atliekama modifikacija Account modulio quick view formai 'Agreements/Opportunities/Quotes subgrids'_x000d__x000a_*** Pakeičiamas formos pavadinimas į 'Agreements/Cases/Opportunities subgrids'_x000d__x000a_*** Po Agreements sub-grid'u įterpiamas sub-grid pavadinimu &quot;All Cases Related to Account&quot; atvaizduojantis visas užklausas, kurios sukurtos case įraše nurodytam 'Account' įrašui. Esant būtinybei pritaikomi sub-grid filtrai._x000d__x000a_*** Užklausų sub-lentelėje &quot;All Cases Related to Account&quot; įgalinamas filtravimas pagal būseną(status/status reason)._x000d__x000a_** Galimybių sub-grid pakoreguojamas, kad eilutes rodytų pagal sukūrimo datą nuo naujausio iki seniausio. (Tikėtina labiau apsimoka sukurti dublikatinį rodinį)_x000d__x000a_** Sub-lentelėje Galimybės, užkeičiame lauką Potencialus klientas į Klientas._x000d__x000a_* *SLA skirtukas - pagal pateiktą poreikį SLA poreikyje #99735 *_x000d__x000a__x000d__x000a_* *Susiję įrašai  - vaizdavimas/ slėpimas:*_x000d__x000a_** Audit History(LT: Tikrinimo retrospektyva) - rodomas_x000d__x000a_** Activities(LT: Veiklos) - rodomas_x000d__x000a_** Case Management Agent for case closure Activities/Monitoring (LT: Atvejo valdymo agento...) parinktys -  Paslepiamos_x000d__x000a_** PSD Totals (LT: Suminiai proceso etapų laikai)  - Paslėpti_x000d__x000a_** Next Actions (LT: Paskesni veiksmai) - Paslėpti_x000d__x000a__x000d__x000a_*Case sklaidos kanalo(Timeline) 'Email' kortelės modifikacijos:*_x000d__x000a_** Atliekama modifikacija nerodyti įrašo statuso. 'Closed, Active' (jeigu sistema leidžia)_x000d__x000a_** Pakeičiamas 'Status' lauko atvaizdavimas į 'Status Reason' lauko atvaizdavimą (jeigu sistema leidžia)_x000d__x000a__x000d__x000a_*Atliekami vertimai į LT kalbą:*_x000d__x000a_* Case rodinys(view) pavadinimu &quot;All Cases Related to Account&quot; &gt; LT: Visos užklausos susijusios su klientu_x000d__x000a_* Account modulio quick view formai 'Agreements/Cases/Opportunities subgrids' &gt; LT: Sutarčių/Užklausų/Galimybių sub-lentelės"/>
    <d v="2025-09-18T00:00:00"/>
    <d v="2025-11-07T00:00:00"/>
    <n v="0"/>
    <b v="0"/>
    <n v="10"/>
    <n v="10"/>
    <n v="4.5"/>
    <n v="4.5"/>
    <s v="[List]"/>
    <s v="2025-10-16T15:23:33Z"/>
    <m/>
    <n v="99736"/>
    <x v="0"/>
    <n v="0"/>
    <n v="0"/>
  </r>
  <r>
    <n v="99735"/>
    <n v="512"/>
    <s v="LG-D365 CRM Project"/>
    <n v="2"/>
    <s v="Feature"/>
    <n v="1"/>
    <s v="New"/>
    <b v="0"/>
    <n v="4"/>
    <s v="Normal"/>
    <n v="875"/>
    <s v="VilMat"/>
    <n v="875"/>
    <s v="VilMat"/>
    <n v="96213"/>
    <s v="FR3-SPRINT_1-008 - Case &gt; Stage Duration modulio korekcijos &gt; Paskaičiuotą laiką atvaizduoti minutėmis, sukurti išsprendimo laiko laukelį, rodinio korekcijos"/>
    <s v="h1. Poreikis:_x000d__x000a__x000d__x000a_SLA skirtuke neskaičiuoja užklausos išsprendimo laiko._x000d__x000a_Peržiūrėti SLA skirtuką ir suprsti kokia skaičiavimo logika_x000d__x000a__x000d__x000a_h1. Patvirtintas poreikis:_x000d__x000a__x000d__x000a_Atnaujintas ir iškeltas naujas poreikis:_x000d__x000a_Stage duration laukelių korekcijos atvaizduoti skaitinę vertę minutėmis(vietoje valandų);_x000d__x000a_Naujo laukelio Resolution duration (Resolved) sukūrimas ir vertės įrašymas nuo Process stage duration (Totals) lentelėje fiksuojamų įrašų bendros sumos;_x000d__x000a_Process stage duration modulio atvaizduojamos sub-lentelės Case įraše stulpelių išdėstymo korekcijos bei eiliškumo(sorting) keitimas;_x000d__x000a__x000d__x000a_Detalizacija:_x000d__x000a_*Užklausoje, Skirtukas SLA:*_x000d__x000a_* Skaičiuoti minutėmis (dabar skaičiuoja valandomis)_x000d__x000a_** Resolution duration (Closed)_x000d__x000a_** Resolution duration (Resolved)_x000d__x000a_* *Turi matytis (eiliškumas):*_x000d__x000a_** *SLA veiksmai*_x000d__x000a_*** Sukūrimo data -&gt; data ir laikas_x000d__x000a_*** Numatoma uždarymo data -&gt; data_x000d__x000a_*** Uždaryta -&gt; data ir laikas_x000d__x000a_*** Sprendimo trukmė (uždaryta) -&gt; Skaičiuoti minutėmis (dabar skaičiuoja valandomis). Resolution duration (Closed)_x000d__x000a_*** Sprendimo trukmė išspręsta) -&gt; slėpti laukelį._x000d__x000a_*** Naujas laukelis Sprendimo trukmė išspręsta Resolution duration (Resolved) -&gt; skaičiuoti minutėmis, o rezultatas susumuojamas iš Process stage duration (Totals) sukurtų įrašų konkrečiai užklausai._x000d__x000a_*** Atsakymas patvirtintas -&gt; prašymas paslėpti._x000d__x000a_** *Proceso etapo trukmė (Suminė) - rodo proceso žingsnius, kurie buvo pasirinkti sprendžiant užklausą.*_x000d__x000a_*** Reikalinga, kad rodytų nuo Ilgiausia laiko iki trumpiausia laiko (minutės) (sorting)_x000d__x000a_*** Stulpelių išdėstymas:_x000d__x000a_**** Etapo pavadinimas_x000d__x000a_**** Naujas laukelis - Pakartojimai (kiek kartų buvo naudotas žingsnis (suskaičiuoti process stages duration vienodus įrašus))_x000d__x000a_**** Trukmė minutėmis_x000d__x000a_**** Trukmė valandomis_x000d__x000a_**** Trukmė dienomis_x000d__x000a_** *Proceso etapo trukmė (eiliškumas) - rodo visus proceso žingsnius.*_x000d__x000a_*** Nuo naujausio iki seniausio (pradžia)_x000d__x000a_*** Etapo pavadinimas (dabar tema)_x000d__x000a_*** Pradžia - data ir laikas (taip, kaip dabar)_x000d__x000a_*** Pabaiga - data ir laikas (taip, kaip dabar)_x000d__x000a_*** Trukmė minutėmis_x000d__x000a_*** Trukmė valandomis_x000d__x000a_*** Trukmė dienomis_x000d__x000a_*** Vilintas pasitikrina, kas yra Pakartojimo pradžia/pabaiga ir jeigu neturi įtakos išimti iš rodinio._x000d__x000a_** *SLA KPI atvejai*_x000d__x000a_*** Palikti taip kaip yra. Nukelti sekciją/sub-lentelę į skirtuko apačią.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Modulis &quot;Process stage duration&quot;_x000d__x000a_* Modulis &quot;Process stage duration (Totals)&quot;_x000d__x000a_* Modulis &quot;Case&quot;_x000d__x000a__x000d__x000a_* *Case modulis:*_x000d__x000a_* Pakeičiami laukų skaičiavimui iš valandų į minutes:_x000d__x000a_** Resolution duration (Closed)_x000d__x000a_** Resolution duration (Resolved)_x000d__x000a_* Case main forma:_x000d__x000a_** Skirtuke SLA veiksmai keičiamas išdėstymas ir laukų atvaizdavimas tokiu eiliškumu:_x000d__x000a_*** *Sekcija SLA veiksmai:*_x000d__x000a_**** Sukūrimo data -&gt; data ir laikas -&gt; keičiama pozicija_x000d__x000a_**** Numatoma uždarymo data -&gt; data -&gt; keičiama pozicija_x000d__x000a_**** Uždaryta -&gt; data ir laikas -&gt; keičiama pozicija_x000d__x000a_**** Resolution duration (Closed)(LT Sprendimo trukmė (uždaryta)) -&gt; Keičiama laukelio formulė skaičiuoti minutėmis(dabar skaičiuoja valandomis)._x000d__x000a_**** Sprendimo trukmė (išspręsta) -&gt; Laukas paslepiamas._x000d__x000a_**** Resolution duration (Resolved)(LT &quot;Sprendimo trukmė išspręsta&quot;)_x000d__x000a_**** Atsakymas patvirtintas -&gt; Laukas paslepiamas._x000d__x000a_**** Keičiama pozicija Sub-lentelės &quot;Process Stage Duration (Totals)&quot; atvaizduoti iškarto po sekcijos &quot;SLA veiksmai&quot;_x000d__x000a_**** Keičiama pozicija Sub-lentelės &quot;Process stage duration&quot; atvaizduoti iškarto po sekcijos &quot;Process Stage Duration(Totals)&quot;_x000d__x000a_**** Keičiama pozicija sekcijos &quot;SLA KPI atvejai&quot; atvaizduoti iškarto po sekcijos &quot;Process stage duration&quot;_x000d__x000a_* Sukuriamas naujas whole number laukelis &quot;Resolution duration (Resolved)&quot;(LT &quot;Sprendimo trukmė išspręsta&quot;) skirtas atvaizduoti visų suminių sla proceso etapų praleistą laiko sumą minutėmis_x000d__x000a_** *(DEV)* Laukelyje atvaizduojama vertė lygi minutėms, o rezultatas susumuojamas iš *&quot;Process stage duration (Totals)&quot;* sukurtų įrašų konkrečiai užklausai._x000d__x000a__x000d__x000a_* *&quot;Process Stage Duration (Totals)&quot;(PSD Totals) modulis:*_x000d__x000a_* Keičiamas Case įraše rodomo &quot;Process stage duration (Totals)&quot; sekcijos rodinio *&quot;Case PSD totals&quot;* eiliškumo ir rikiavimo išdėstymas:_x000d__x000a_** Rikiavimas nuo ilgiausio iki trumpiausio pagal 'Praleistų minučių' stulpelį_x000d__x000a_** Stulpelių išdėstymas:_x000d__x000a_*** Etapo pavadinimas_x000d__x000a_*** Pakartojimai (naujas laukelis)_x000d__x000a_*** Trukmė minutėmis_x000d__x000a_*** Trukmė valandomis_x000d__x000a_*** Trukmė dienomis_x000d__x000a_* Sukuriamas naujas whole number laukelis &quot;Stage Repetitions&quot;(LT &quot;Pakartojimai&quot;) skirtas užfiksuoti, kiek kartų buvo panaudotas etapas remiantis 'Process stage duration' įrašų sukūrimo kiekiu._x000d__x000a_** *(DEV)* Sukuriamas workflow arba panaudojamas kodas atnaujinti Process Stage Duration(Totals) sukurtą įrašą užklausai kiekvieną kartą kai sukuriamas naujas 'Process stage duration' įrašas tiesiogiai susijęs su 'Process Stage Duration(totals)' įrašu._x000d__x000a_** Sukuriama užklausa &gt; Aktyvuojasi BPF etapas &gt; Susikuria 'Stage duration' įrašas -&gt; Pereinama į kitą BPF etapą &gt; Susikuria naujas 'Stage duration įrašas' &gt; Sukuriamas Stage Duration(totals) įrašas prieš tai buvusiam 'Stage duration' įrašui &gt; į 'Stage duration(totals)' įraše esantį naują lauką įrašomas skaičius '1'_x000d__x000a_** Jeigu eiga pasikartoja ir susikuria dar vienas to paties BPF etapo 'Stage duration' įrašas -&gt; 'Stage duration(totals)' įrašas atnaujinamas '+1'(1 &gt; 2) kai pakeičiamas dar kartą BPF etapas_x000d__x000a__x000d__x000a_* *&quot;Process Stage Duration&quot; modulis&quot;(Stage Duration):*_x000d__x000a_* Keičiamas Case įraše rodomo &quot;Process stage duration sekcijos rodinio &quot; *&quot;All Stage Duration&quot;* eiliškumo ir rikiavimo išdėstymas:_x000d__x000a_** Rikiavimas nuo naujausio iki seniausio pagal 'Actual Start' stulpelį_x000d__x000a_** Stulpelių išdėstymas:_x000d__x000a_*** Subject (Tema (naujas vertimas LT &gt; Etapo pavadinimas))_x000d__x000a_*** Pradžia (actual start)_x000d__x000a_*** Pabaiga (actual end)_x000d__x000a_*** Trukmė minutėmis (Duration (minutes))_x000d__x000a_*** Trukmė valandomis (Duration (hours))_x000d__x000a_*** Trukmė dienomis (Duration (days))_x000d__x000a_* Keičiamas 'Subject' lauko pavadinimas:_x000d__x000a_** EN: Subject &gt; Stage Name_x000d__x000a_** LT: Tema &gt; Etapo pavadinimas_x000d__x000a__x000d__x000a_*Atliekami vertimai laukeliams:* _x000d__x000a_* Resolution duration (Resolved) &gt; LT: &quot;Sprendimo trukmė išspręsta&quot;_x000d__x000a_* Stage Repetitions &gt; LT: &quot;Pakartojimai_x000d__x000a_* Subject laukas:_x000d__x000a_** EN: Subject &gt; Stage Name_x000d__x000a_** LT: Tema &gt; Etapo pavadinimas"/>
    <d v="2025-09-18T00:00:00"/>
    <d v="2025-11-07T00:00:00"/>
    <n v="20"/>
    <b v="0"/>
    <n v="6"/>
    <n v="6"/>
    <n v="3"/>
    <n v="3"/>
    <s v="[List]"/>
    <s v="2025-10-16T14:37:12Z"/>
    <m/>
    <n v="99735"/>
    <x v="0"/>
    <n v="1.2"/>
    <n v="0.4000000000000001"/>
  </r>
  <r>
    <n v="99716"/>
    <n v="512"/>
    <s v="LG-D365 CRM Project"/>
    <n v="2"/>
    <s v="Feature"/>
    <n v="1"/>
    <s v="New"/>
    <b v="0"/>
    <n v="4"/>
    <s v="Normal"/>
    <n v="875"/>
    <s v="VilMat"/>
    <n v="875"/>
    <s v="VilMat"/>
    <n v="96213"/>
    <s v="FR3-SPRINT_1-007 - Case &gt; Verslo proceso juostos modifikacijos pridedant naujus laukus, Case formos modifikacijos"/>
    <s v="h1. Poreikis:_x000d__x000a__x000d__x000a_Užklausos proceso žingsniuose: _x000d__x000a_Vidinė konsultacija_x000d__x000a_Išorinė konsultacija_x000d__x000a_Atsakingo asmens sprendimas_x000d__x000a_Papildyti laukais, kuriuose žymimas asmuo arba komanda._x000d__x000a__x000d__x000a_h1. Patvirtintas poreikis:_x000d__x000a__x000d__x000a_Užklausos proceso žingsniuose papildyti laukais, kuriuose žymimas asmuo arba komanda._x000d__x000a_Vidinė konsultacija_x000d__x000a_Išorinė konsultacija_x000d__x000a_Atsakingo asmens sprendimas_x000d__x000a__x000d__x000a_*Užklausa &gt; Vidinė konsultacija*_x000d__x000a_Papildyti nauju laukeliu Komanda konsultuoja - galima pasirinkti CRM esančią komandą._x000d__x000a_Laukas neprivalomas._x000d__x000a_Šis naujas laukelis atsiranda prieš Kolega konsultuoja._x000d__x000a_Jeigu užpildomas laukas Komanda konsultuoja arba Kolega konsultuoja, tuomet atsiranda toks pats naujas laukas žemiau - Iki 5 laukelių._x000d__x000a__x000d__x000a_*Užklausa &gt; Išorinė konsultacija*_x000d__x000a_Padaryti galimybę  įvesti daugiau išorės konsultantų žymėjimų._x000d__x000a_Jeigu užpildoma  Išorės konsultantas, Planuojama konsultanto atsakymo data, tai parodomi nauji  laukai - Išorės konsultantas, Išorės komentaras, Planuojama konsultanto atsakymo data. Darome 5 pakartojimus._x000d__x000a_Privalomas pildymas yra tik pirmą kartą suvedant laukelius Išorės konsultantas, Planuojama konsultanto atsakymo data._x000d__x000a_Išmesti pranešimą 'datos' laukeliui tuo atveju, jeigu &quot;numatoma uždarymo data&quot; lauke esanti data yra ankstesnė nei pasirinkta 'datos' lauke;_x000d__x000a__x000d__x000a_*Užklausa &gt; Atsakingo asmens sprendimas*_x000d__x000a_Padaryti galimybę  įvesti daugiau Atsakingo asmens sprendimas žymėjimų._x000d__x000a_Jeigu užpildoma  Atsakingas asmuo, Atsakingo sprendimas, Atsakingo atsakymo data, tai parodomi nauji  laukai  - Atsakingas asmuo, Atsakingo sprendimas, Atsakingo atsakymo data. Darome 5 pakartojimus._x000d__x000a_Privalomas pildyti tik pirmas._x000d__x000a_Išmesti pranešimą 'datos' laukeliui tuo atveju, jeigu &quot;numatoma uždarymo data&quot; lauke esanti data yra ankstesnė nei pasirinkta 'datos' lauke;_x000d__x000a__x000d__x000a_*Užduotis klientui:* _x000d__x000a_Išmesti pranešimą 'datos' laukeliui tuo atveju, jeigu &quot;numatoma uždarymo data&quot; lauke esanti data yra ankstesnė nei pasirinkta 'datos' lauke;_x000d__x000a__x000d__x000a_Sustabdyta:_x000d__x000a_Išmesti pranešimą 'datos' laukeliui tuo atveju, jeigu &quot;numatoma uždarymo data&quot; lauke esanti data yra ankstesnė nei pasirinkta 'datos' lauke;_x000d__x000a__x000d__x000a_Rengiamas atsakymas:_x000d__x000a_Išmesti pranešimą 'datos' laukeliui tuo atveju, jeigu &quot;numatoma uždarymo data&quot; lauke esanti data yra ankstesnė nei pasirinkta 'datos' lauke;_x000d__x000a__x000d__x000a_*Užklausa &gt; SLA*_x000d__x000a_Case:_x000d__x000a_*SLA skirtukas &gt; Nauja sekcija:*_x000d__x000a_Nauja sekcija paskaičiavimams pavadinimu &quot;Skaičiuoklė&quot;_x000d__x000a_Į sekciją perkelti: iš summary skirtuko 'Laiškų išsiųsta/gauta'(2laukai);_x000d__x000a_Sukurti naują lauką atvaizduoti skaičių, kiek vartotojų priskirta 'Kolega konsultuoja' laukeliuose (vidinės konsultacijos BPF stage)_x000d__x000a_Tas Pats galioja ir su 'Komanda konsultuoja'_x000d__x000a_Sukurti naują lauką atvaizduoti skaičių, kiek vartotojų priskirta 'Išorės konsultantas' laukeliuose (išorinė konsultacija BPF stage)_x000d__x000a_Sukurti naują lauką atvaizduoti skaičių, kiek vartotojų priskirta 'Atsakingas asmuo' laukeliuose (Atsakingo asmens sprendimas BPF stage)_x000d__x000a_Papildomas laukas skirtas atvaizduoti, kiek viso sukurta užduočių per užklausą (nesvarbu atviros/uždarytos)_x000d__x000a__x000d__x000a_h1. Atliekamos modifikacijos:_x000d__x000a__x000d__x000a_*&lt;pre&gt;_x000d__x000a_Modifikacijų sprendinio šaltinis: LTG_CRM - #96210 FR3-SPRINT1 System Customizations_x000d__x000a_&lt;/pre&gt;*_x000d__x000a__x000d__x000a_*Sisteminės vietos:*_x000d__x000a_* Užklausų(case) modulyje;_x000d__x000a_* Užklausų verslo proceso juostoje(BPF);_x000d__x000a_* Sistemos vertimuose;_x000d__x000a__x000d__x000a_*Užklausos forma (Case):*_x000d__x000a_Skyrius &quot;SLA&quot;:_x000d__x000a_* Sukuriama nauja sekcija Calculations(LT 'Skaičiuoklė'). _x000d__x000a_* Perkeliami į sekciją laiškų skaičiavimo laukeliai (Summary &gt; Sent Emails, Received Emails)_x000d__x000a_* Perkeliami į sekciją žemiau išvardinti nauji laukeliai:_x000d__x000a_** Sukuriamas naujas whole number tipo laukas *&quot;Internal Consultant Reassignments&quot;(LT &quot;Kolega konsultuoja perskyrimai&quot;)* atvaizduoti skaičių, kiek vartotojų priskirta 'Kolega konsultuoja'(Internal Consultant) laukeliuose (vidinės konsultacijos BPF stage)_x000d__x000a_** Sukuriamas naujas whole number tipo laukas *&quot;Internal Team Reassignments&quot;(LT &quot;Komanda konsultuoja perskyrimai&quot;)* atvaizduoti skaičių, kiek komandų priskirta 'Komanda konsultuoja'(Internal Team Support) laukeliuose (vidinės konsultacijos BPF stage)_x000d__x000a_** Sukuriamas naujas whole number tipo laukas *&quot;External Consultant Reassignments&quot;(LT &quot;Išorės konsultanto perskyrimai&quot;)&quot;* atvaizduoti skaičių, kiek vartotojų priskirta 'Išorės konsultantas'(responsiblecontactid) laukeliuose (išorinė konsultacija BPF stage)_x000d__x000a_** Sukuriamas naujas laukas *&quot;Responsible Person Reassignments(LT &quot;Atsakingo asmens perskyrimai&quot;)&quot;* atvaizduoti skaičių, kiek vartotojų priskirta 'Atsakingas asmuo'(Responsible Person(goerp_responsibleuser)) laukeliuose (Atsakingo asmens sprendimas BPF stage)_x000d__x000a_** Sukuriamas naujas whole number tipo laukas *&quot;Total Tasks Created(LT &quot;Viso sukurta užduočių&quot;)&quot;* skirtas atvaizduoti, kiek viso sukurta užduočių per užklausą (nesvarbu atviros/uždarytos)_x000d__x000a_** *(DEV)* Sukuriamas workflow/plugin skirtas skaičiuoti ir atnaujinti laukelio &quot;Total Tasks Created&quot; vertę kiekvieną kartą kai sukuriama nauja užduotis(Task), kuri surišta su užklausos(Case) įrašu_x000d__x000a__x000d__x000a_*Proceso žingsnis 'Vidinė konsultacija'(Internal Communication):*_x000d__x000a_* 5vnt naujų lookup tipo laukelių *&quot;Internal Team Support&quot;(LT &quot;Komanda konsultuoja&quot;)* leidžiančių pasirinkti komandą (team). Laukai neprivalomi._x000d__x000a_* 4vnt naujų lookup tipo laukelių *&quot;Internal Consultant&quot;(LT &quot;Kolega konsultuoja&quot;)* leidžiančių pasirinkti vartotoją (user). Laukai neprivalomi._x000d__x000a_* Sukuriamos *verslo taisyklės* , kurios valdo, kada atvaizduoti laukelius komanda 2,3,4,5/kolega 2,3,4,5_x000d__x000a_* Jeigu užpildomas pirmas komanda arba kolega laukelis, tuomet sistema atvaizduoja antrą porą kolega/komanda laukelių._x000d__x000a_* Jeigu užpildomas antras komanda arba kolega laukelis, tuomet sistema atvaizduoja trečią porą kolega/komanda laukelių._x000d__x000a_* Toks atvaizdavimo būdas sukuriamas iki atvaizduojama penkta pora laukelių komanda/kolega._x000d__x000a__x000d__x000a_*Proceso žingsnis 'Išorės konsultacija'(Outsource Communication):*_x000d__x000a_* 4vnt. naujų lookup tipo laukelių *&quot;External Consultant Support&quot;(LT &quot;Išorės konsultantas&quot;)* leidžiančių pasirinkti vartotoją(user). Laukeliai neprivalomi._x000d__x000a_* 4vnt. naujų tekstinių(multi-line text) laukelių *&quot;External Consultant Comments&quot;(LT &quot;Išorės komentaras&quot;)* leidžiančių įrašyti komentarą (išorės komentaras). Laukeliai neprivalomi._x000d__x000a_* 4vnt. naujų datos(date only) laukelių *&quot;Estimated External Consultant Response Date&quot;(LT &quot;Planuojama konsultanto atsakymo data&quot;)* leidžiančių pasirinkti norimą datą(numatoma uždarymo data). Laukeliai neprivalomi. Atvaizduojamas pasirinkimas - tik data._x000d__x000a_* Sukuriamos *verslo taisyklės* , kurios valdo, kada atvaizduoti laukelius 'išorės konsultantas2,3,4,5/išorės komentaras2,3,4,5/Planuojama konsultanto atsakymo data2,3,4,5';_x000d__x000a_* Jeigu užpildomi pirmi du laukeliai 'Išorės konsultantas' ir 'Planuojama konsultanto atsakymo data', tai sistemos verslo taisyklė parodo sekantį laukų trio;_x000d__x000a_* Toks atvaizdavimo būdas sukuriamas iki atvaizduojamas penktas laukelių trio('išorės konsultantas/išorės komentaras/Planuojama konsultanto atsakymo data')_x000d__x000a__x000d__x000a_*Proceso žingsnis 'Atsakingo asmens sprendimas'(Responsible User Decision):*_x000d__x000a_* 4vnt. naujų lookup tipo laukelių *&quot;Responsible User (LT &quot;Atsakingas asmuo&quot;)&quot;* leidžiančių pasirinkti vartotoją (user). Laukeliai neprivalomi._x000d__x000a_* 4vnt. naujų tekstinių(multi-line text) laukelių *&quot;Responsible User Decision (LT &quot;Atsakingo sprendimas&quot;)&quot;* leidžiančių įrašyti komentarą(atsakingo sprendimas). Laukeliai neprivalomi._x000d__x000a_* 4vnt. naujų datos(date only) laukelių *&quot;Responsible User Response Date (LT &quot;Atsakingo atsakymo data&quot;)&quot;* leidžiančių pasirinkti norimą datą(atsakingo atsakymo data). Laukeliai neprivalomi. Atvaizduojamas pasirinkimas - tik data._x000d__x000a_* Sukuriamos *verslo taisyklės* , kurios valdo, kada atvaizduoti laukelius 'Atsakingas asmuo2/3/4/5, Atsakingo sprendimas2/3/4/5, Atsakingo atsakymo data2/3/4/5'._x000d__x000a_* Jeigu užpildomi pirmi trys laukai 'Atsakingas asmuo, Atsakingo sprendimas, Atsakingo atsakymo data', tai sistemos verslo taisyklė parodo sekantį laukų trio;_x000d__x000a_* Toks atvaizdavimo būdas sukuriamas iki atvaizduojamas penktas laukelių trio('Atsakingas asmuo, Atsakingo sprendimas, Atsakingo atsakymo data')_x000d__x000a__x000d__x000a_*Kitos verslo taisyklės:*_x000d__x000a_* Rodyti pranešimą, jeigu 'uždarymo data' laukelyje esanti data yra senesnė nei pasirinkta apibrėžtame lauke._x000d__x000a_** Pranešimo tekstas kopijuojamas nuo jau sukurto 'Estimated Consultant Response Date' laukelio verslo taisyklės._x000d__x000a_** Verslo taisyklėmis apibrėžiami laukai:_x000d__x000a_*** 4vnt. Planuojama konsultanto atsakymo data (&quot;Estimated External Consultant Response Date&quot;) (BPF: Outsource Communication)_x000d__x000a_*** 4vnt. Atsakingo atsakymo data (&quot;Responsible User Response Date&quot;) (BPF: Responsible User Decision)_x000d__x000a_*** 1vnt. Customer Response Date (BPF: Task to Customer)_x000d__x000a_*** 1vnt. On Hold Expiry Date (BPF: On Hold)_x000d__x000a_*** 1vnt. Planned Preparation Date (BPF: Preparing Answer)_x000d__x000a__x000d__x000a_*Vertimai:*_x000d__x000a_* Atliekami vertimai į lietuvių kalbą sistemoje naujai sukurtiems laukams."/>
    <d v="2025-09-18T00:00:00"/>
    <d v="2025-11-07T00:00:00"/>
    <n v="20"/>
    <b v="0"/>
    <n v="22.5"/>
    <n v="22.5"/>
    <n v="10.5"/>
    <n v="10.5"/>
    <s v="[List]"/>
    <s v="2025-10-16T13:17:59Z"/>
    <m/>
    <n v="99716"/>
    <x v="0"/>
    <n v="4.5"/>
    <n v="0.4285714285714285"/>
  </r>
  <r>
    <n v="96243"/>
    <n v="512"/>
    <s v="LG-D365 CRM Project"/>
    <n v="2"/>
    <s v="Feature"/>
    <n v="9"/>
    <s v="Ready for testing"/>
    <b v="0"/>
    <n v="4"/>
    <s v="Normal"/>
    <n v="875"/>
    <s v="VilMat"/>
    <n v="875"/>
    <s v="VilMat"/>
    <n v="96214"/>
    <s v="FR3-SPRINT_1-006 - Queue Items/Queues - Force refresh rodinio sąrašą su custom kodu"/>
    <s v="h1. Poreikis:_x000d__x000a__x000d__x000a_Į CRM laiškai sukrenta tik kas kažkiek laiko, jei nori, kad greičiau, tai turi maigyti mygtuką &quot;Atnaujinti&quot;_x000d__x000a_Sutrumpinti sistemos automatinį atnaujinimo laiką, kad nereikėtų rankiniu būdu spaudyti atnaujinti. Per bandymą nespaudėme atnaujinti ir laiškas neįkrito automatiškai į CRM per 6min. (negalėjome ilgai laukti, nes laiškas buvo operatyvus) _x000d__x000a__x000d__x000a_h1. Patvirtintas poreikis:_x000d__x000a__x000d__x000a_Atnaujinti eilių rodinius kas minutę._x000d__x000a__x000d__x000a_h1. Atliekamos modifikacijos:_x000d__x000a__x000d__x000a_*&lt;pre&gt;_x000d__x000a_Modifikacijų sprendinio šaltinis: LTG_CRM - #96210 FR3-SPRINT1 System Customizations_x000d__x000a_&lt;/pre&gt;*_x000d__x000a__x000d__x000a_Galimybės atnaujinti lentelę(sub-grid), kas 'x' laiko intervalais(rekomenduotina nedažniau nei 30sek.) yra, tačiau tai turi savo neigiamą pusę: Jeigu vartotojas praskleis sąrašą žemyn ar pereis į kitą puslapį, po automatinio atnaujinimo sąrašas grįš į pradinę būseną ir vartotojas vėl turės 30s langą peržiūrėti įrašus. Esant didesnėms apimtims tai kritinis trūkumas peržiūrint įrašus. _x000d__x000a__x000d__x000a_* Atnaujinti 'Queue Items' modulio rodinių langą &quot;x&quot; intervalais (force refresh)_x000d__x000a_&gt; * User modulyje sukuriamas naujas laukas, kuriame galima nusirodyti, kokiu intervalu nori vartotojas, kad atsinaujintų rodinys._x000d__x000a_&gt; * Naujame laukelyje, numatyta tvarka, kliento nurodytiems vartotojams, nustatomas standartinis 60s intervalas._x000d__x000a_&gt; * Sukuriamas papildomas workflow, kuris suveikia, kai sukuriamas naujas 'User' ir tam vartotojui nustato standartinį intervalą į 60s. _x000d__x000a_* Atnaujinti 'Queue' modulio formoje esantį 'Queue Items' sub-grid'ą 60sekundžių intervalais_x000d__x000a__x000d__x000a_**Nesant galimybei tiesiogiai atnaujinti per 'Queue Items' modulį bus teikiama rekomendacija sukurti naują specializuotą rodinį 'Queue' modulyje, kuris būtų kaip numatytasis, o jį pasirinkus atvaizduotų tik aktyvias eiles. Papildomai būtų sukurta nauja 'Queue' pagrindinė forma, kuria naudotūsi darbuotojai dirbant su eilėmis. Forma būtų orientuota tiesiogiai į eilės įrašus."/>
    <d v="2025-09-18T00:00:00"/>
    <d v="2025-11-07T00:00:00"/>
    <n v="70"/>
    <b v="0"/>
    <n v="20"/>
    <n v="20"/>
    <n v="18"/>
    <n v="18"/>
    <s v="[List]"/>
    <s v="2025-09-19T14:18:58Z"/>
    <m/>
    <n v="96243"/>
    <x v="0"/>
    <n v="14"/>
    <n v="0.7777777777777778"/>
  </r>
  <r>
    <n v="96242"/>
    <n v="512"/>
    <s v="LG-D365 CRM Project"/>
    <n v="2"/>
    <s v="Feature"/>
    <n v="9"/>
    <s v="Ready for testing"/>
    <b v="0"/>
    <n v="4"/>
    <s v="Normal"/>
    <n v="875"/>
    <s v="VilMat"/>
    <n v="875"/>
    <s v="VilMat"/>
    <n v="96214"/>
    <s v="FR3-SPRINT_1-005 - Queue Items &gt;'Convert To Case' mygtuko pridėjimas"/>
    <s v="h1. Poreikis:_x000d__x000a__x000d__x000a_Iš benrdo sąrašo eilės negali kurti užklausos neužėjus į vidų._x000d__x000a_Reikia papildomo pasirinkimo užklausai sukurti neužeinant į eilės vidų, tik pažymėjus laišką._x000d__x000a__x000d__x000a_Eglė klausimas: ar liktų ir galimybė konvertuoti kai laiškas yra atidarytas?_x000d__x000a_GO-ERP komentaras (Versija 3):_x000d__x000a_&gt; Taip, tai būtų tik papildinys, kuris taptų prieinamas iš bendro modulio rodinio per funkcinę juostą._x000d__x000a__x000d__x000a_h1. Patvirtintas poreikis:_x000d__x000a__x000d__x000a_* Konvertuoti į užklausą galima neatsidarius laiško, tik pažymėjus._x000d__x000a_* Veikia, kai pažymimas vienas laiškas. Pasiekiamas per funkcinę juosta. Vieta (pridėtas pav.) tarp rodyti diagramą ir redaguoti_x000d__x000a_* Konvertavimas iš atidaryto laiško lieka._x000d__x000a_* Konvertavimo langas toks pats kaip atidarius laišką._x000d__x000a_!clipboard-202509191628-jn9rl.png!_x000d__x000a__x000d__x000a_h1. Atliekamos modifikacijos:_x000d__x000a__x000d__x000a_*&lt;pre&gt;_x000d__x000a_Modifikacijų sprendinio šaltinis: LTG_CRM - #96210 FR3-SPRINT1 System Customizations_x000d__x000a_&lt;/pre&gt;*_x000d__x000a__x000d__x000a_* Pridedamas mygtukas į &quot;Queue Items&quot; modulio rodinių langą tarp mygtukų 'Show Chart' ir 'Edit'_x000d__x000a_&gt; Mygtukas matomas tik tada kai pasirenkamas '1' įrašas_x000d__x000a_&gt; Nepasirinkus nė vieno įrašo - nerodomas_x000d__x000a_&gt; Pasirinkus daugiau nei vieną įrašą - mygtukas paslepiamas_x000d__x000a_"/>
    <d v="2025-10-24T00:00:00"/>
    <d v="2025-11-07T00:00:00"/>
    <n v="20"/>
    <b v="0"/>
    <n v="3"/>
    <n v="3"/>
    <n v="5"/>
    <n v="5"/>
    <s v="[List]"/>
    <s v="2025-09-19T13:44:12Z"/>
    <m/>
    <n v="96242"/>
    <x v="0"/>
    <n v="0.6000000000000001"/>
    <n v="0.12"/>
  </r>
  <r>
    <n v="96239"/>
    <n v="512"/>
    <s v="LG-D365 CRM Project"/>
    <n v="2"/>
    <s v="Feature"/>
    <n v="9"/>
    <s v="Ready for testing"/>
    <b v="0"/>
    <n v="4"/>
    <s v="Normal"/>
    <n v="875"/>
    <s v="VilMat"/>
    <n v="875"/>
    <s v="VilMat"/>
    <n v="96237"/>
    <s v="FR3-SPRINT_1-004 - Accounts &gt; Atsakingų asmenų pasirinkimų praplėtimas"/>
    <s v="h1. Poreikis:_x000d__x000a__x000d__x000a_Prie kliento kortelės įtraukti papildomą  atsakingą sritį: Turi būti Pardavimai, Aptarnavimas, Užsakymai, Sutartys, Atsiskaitymai. _x000d__x000a_Pervadinti: Atsakingas asmuo/komanda į Pardavimai_x000d__x000a_Kuriamas naujas pavadinimu Aptarnavimas_x000d__x000a_Užsakymų vadybininkas keičiamas į Užsakymai_x000d__x000a_Papildomų paslaugų sutarčių vadybininkas keičiamas į  Sutartys_x000d__x000a_Atsiskaitymų vadybininkas keičiamas į  Atsiskaitymai_x000d__x000a__x000d__x000a_Rodinyje Mano aktyvieji klientai analogiškai pritaikyti naujų laukų reikšmes kaip paveikslėlyje. Filtras turėtų atvaizduoti bet kuriame iš naujų laukų esančio vartotojo klientus._x000d__x000a__x000d__x000a_h1. Patvirtintas poreikis:_x000d__x000a__x000d__x000a_Prie kliento kortelės įtraukti papildomą  atsakingą sritį: Aptarnavimas_x000d__x000a_Eiliškumas ir pavadinimai:_x000d__x000a_Pardavimai_x000d__x000a_Aptarnavimas _x000d__x000a_Užsakymai_x000d__x000a_Sutartys_x000d__x000a_Atsiskaitymai. _x000d__x000a_Rodinyje Mano aktyvieji klientai analogiškai pritaikyti naujų laukų reikšmes kaip paveikslėlyje. Filtras turėtų atvaizduoti bet kuriame iš naujų laukų esančio vartotojo klientus._x000d__x000a_Rodinyje galimybė įsitraukti numatytus stulpelius_x000d__x000a_!clipboard-202509191601-4dhzx.png!_x000d__x000a_!clipboard-202509191607-9zpe1.png!_x000d__x000a__x000d__x000a_h1. Atliekamos modifikacijos:_x000d__x000a__x000d__x000a_*&lt;pre&gt;_x000d__x000a_Modifikacijų sprendinio šaltinis: LTG_CRM - #96210 FR3-SPRINT1 System Customizations_x000d__x000a_&lt;/pre&gt;*_x000d__x000a__x000d__x000a_* Account modulyje sukuriamas naujas lookup tipo laukelis 'Customer Service'(LT.'Aptarnavimas')_x000d__x000a_&gt;&gt; Laukas žvelgia į vartotojų modulį._x000d__x000a_&gt;&gt; Laukas patalpinamas į Account pagrindinėje formoje esančią greitosios informacijos zoną._x000d__x000a_* 'My Active Accounts'(mano aktyvieji klientai) sisteminiame rodinyje pritaikomi specialieji filtrai:_x000d__x000a_&gt;&gt; Filtruoti pagal esamą vartotoją(pagal tą kuris peržiūri) nurodyta eilės tvarka šiuos laukelius:_x000d__x000a_&gt;&gt; Pardavimai_x000d__x000a_&gt;&gt; Aptarnavimas _x000d__x000a_&gt;&gt; Užsakymai_x000d__x000a_&gt;&gt; Sutartys_x000d__x000a_&gt;&gt; Atsiskaitymai_x000d__x000a_&gt;&gt; Rezultatas: Filtras turėtų atvaizduoti bet kuriame iš naujų laukų esančio vartotojo klientus._x000d__x000a__x000d__x000a_*Apribojimai:*_x000d__x000a_* Pridėjus į viršutinę greitosios informacijos pateikimo juostą - nesimatys, kol nebus praskleista su dešinėje esančia rodykle. Sistemos lubos riboja atvaizduoti iki 4-ių pateikčių. _x000d__x000a_* Eglės Klausimas - kas šioje dalyje matysis, ar pirmi keturi ir norint matyti daugiau reikės praskleisti, ar kitas vaizdas?_x000d__x000a_&gt;&gt; GO-ERP komentaras (Versija 3):_x000d__x000a_&gt;&gt; Formoje, nepraskleidus pasirinkimo, būtų matomi pirmi 4 laukeliai._x000d__x000a_&gt;&gt; Norint pamatyti daugiau, būtų reikalinga praskleisti panaudojant minėtą rodyklę._x000d__x000a__x000d__x000a_"/>
    <d v="2025-09-18T00:00:00"/>
    <d v="2025-11-07T00:00:00"/>
    <n v="50"/>
    <b v="0"/>
    <n v="5"/>
    <n v="5"/>
    <n v="3"/>
    <n v="3"/>
    <s v="[List]"/>
    <s v="2025-09-19T13:19:09Z"/>
    <m/>
    <n v="96239"/>
    <x v="0"/>
    <n v="2.5"/>
    <n v="0.8333333333333334"/>
  </r>
  <r>
    <n v="96237"/>
    <n v="512"/>
    <s v="LG-D365 CRM Project"/>
    <n v="2"/>
    <s v="Feature"/>
    <n v="2"/>
    <s v="In Progress"/>
    <b v="0"/>
    <n v="4"/>
    <s v="Normal"/>
    <n v="875"/>
    <s v="VilMat"/>
    <n v="875"/>
    <s v="VilMat"/>
    <n v="96210"/>
    <s v="FR3-SPRINT_1-000 - Accounts (Klientai)"/>
    <s v="*Modulio apimtyje atliekami su klientu pasitvirtinti pirmo prioriteto darbai*_x000d__x000a__x000d__x000a_&lt;pre&gt;_x000d__x000a_Darbai atliekami sprendinyje pavadinimu: LTG_CRM - #96210 FR3-SPRINT1 System Customizations_x000d__x000a_&lt;/pre&gt;"/>
    <d v="2025-09-18T00:00:00"/>
    <d v="2025-11-07T00:00:00"/>
    <n v="50"/>
    <b v="0"/>
    <m/>
    <n v="5"/>
    <n v="0"/>
    <n v="3"/>
    <s v="[List]"/>
    <s v="2025-09-19T12:57:00Z"/>
    <m/>
    <n v="96237"/>
    <x v="1"/>
    <n v="0"/>
    <n v="0"/>
  </r>
  <r>
    <n v="96235"/>
    <n v="512"/>
    <s v="LG-D365 CRM Project"/>
    <n v="2"/>
    <s v="Feature"/>
    <n v="9"/>
    <s v="Ready for testing"/>
    <b v="0"/>
    <n v="4"/>
    <s v="Normal"/>
    <n v="875"/>
    <s v="VilMat"/>
    <n v="875"/>
    <s v="VilMat"/>
    <n v="96213"/>
    <s v="FR3-SPRINT_1-003 - Case &gt; Timeline &gt; Notes: Padidinti 'Description' simbolių skaičių iki maksimumo"/>
    <s v="h1. Poreikis:_x000d__x000a__x000d__x000a_Laiko juostoje esančioje pastabų dalyje padidinti Aprašymo lauką iki maksimalaus leistinų simbolių kiekio_x000d__x000a__x000d__x000a_h1. Patvirtintas poreikis:_x000d__x000a__x000d__x000a_Nustatytati Laiko juostoje esančioje pasatabų dalyje padidinti Aprašymo lauką padidinti iki maksimalaus leistinų simobilių kiekio_x000d__x000a__x000d__x000a_h1. Atliekamos modifikacijos:_x000d__x000a__x000d__x000a_*&lt;pre&gt;_x000d__x000a_Modifikacijų sprendinio šaltinis: LTG_CRM - #96210 FR3-SPRINT1 System Customizations_x000d__x000a_&lt;/pre&gt;*_x000d__x000a__x000d__x000a_Notes(Pastabų) įrašai:_x000d__x000a_* Subject(Temos) laukelis: Draudžiami padidinti. Nustatytas maksimalus leistinas simbolių kiekis - 500_x000d__x000a_* Description(Aprašymo) laukelis: Nustatomas maksimalus leistinas simbolių kiekis - 1073741823; Šiuo metu nustatytas: 100000_x000d__x000a_"/>
    <d v="2025-09-18T00:00:00"/>
    <d v="2025-11-07T00:00:00"/>
    <n v="30"/>
    <b v="0"/>
    <n v="1"/>
    <n v="1"/>
    <n v="1.5"/>
    <n v="1.5"/>
    <s v="[List]"/>
    <s v="2025-09-19T12:52:12Z"/>
    <m/>
    <n v="96235"/>
    <x v="0"/>
    <n v="0.3"/>
    <n v="0.2"/>
  </r>
  <r>
    <n v="96220"/>
    <n v="512"/>
    <s v="LG-D365 CRM Project"/>
    <n v="2"/>
    <s v="Feature"/>
    <n v="9"/>
    <s v="Ready for testing"/>
    <b v="0"/>
    <n v="4"/>
    <s v="Normal"/>
    <n v="875"/>
    <s v="VilMat"/>
    <n v="875"/>
    <s v="VilMat"/>
    <n v="96215"/>
    <s v="FR3-SPRINT_1-002 - Automatiškai uždedamo el.pašto adreso į juodraštinį el.laišką modifikacija"/>
    <s v="h1. Poreikis:_x000d__x000a__x000d__x000a_Kiekvieną kartą rašant atsakant į laišką reikia rankiniu būdu pakeisti iš asmeninės į bendrinę pašto dėžutę. Padaryti, kad nuskaitytų kokiai komandai priklauso ir taikytų komandos (veikos) el. paštą_x000d__x000a__x000d__x000a_h1. Patvirtintas poreikis:_x000d__x000a__x000d__x000a_Redaguotų automatinis el. pašto parinkimas laiško išsiuntimui nuo vartotojo._x000d__x000a_Darome dviejų pasiūlytų variantų hibridą - pašto dėžutės pavadinimas nurodomas vartotojo kortelėje. Kada spaudžiama reply, vartotojui suveikia OnLoad funkcija ir uždedama nurodyta pašto dėžutė į laiško lauką 'From'._x000d__x000a_Vartotojui netinkant savarankiškai pasikeičia. _x000d__x000a_Galimybė rankiniu būdu pakeisti kitą el. paštą._x000d__x000a__x000d__x000a_h1. Pateikti pavyzdiniai scenarijai iš kliento pusės su GO-ERP komentarais:_x000d__x000a__x000d__x000a_Ar veiktų šis sprendimas tokiais scenarijais:_x000d__x000a_Esama situacija: yra BAK komanda, kuri dirba su BAK eile, turi savo pasta pagalba@ltgcargolt; yra komanda VR, kuri dirba su VR eile, turi savo paštą vagonai@ltgcargo.lt_x000d__x000a_* 1 scenarijus:_x000d__x000a_&gt; Kliento laiškas, adresatai nurodoma pagalba@ltgcargo.lt. Laiškas įkrenta į BAK eilę, BAK komandos narys konvertuoja į užklausą. Iš užklausos rašomas laiškas, užsideda paštas from pagalba@ltgcargo_x000d__x000a_&gt; *GO-ERP komentaras (Versija 3):*_x000d__x000a_&gt; Galimas scenarijus. Funkcija ieškotų, prie kokios eilės priskirtas el.laiškas, kai pats el.laiškas atsakomas iš naujos užklausos._x000d__x000a_* 2 scenarijus:_x000d__x000a_&gt; Kliento laiškas, adresatai nurodoma pagalba@ltgcargo ir vadonai@ltgcargo.lt. Laiškas įkrenta ir į BAK ir į VR eiles. Pagal laiško turinį BAK komandos narys konvertuoja į užklausą. Iš užklausos rašomas laiškas, užsideda paštas from pagalba@ltgcargo. VR eilėje įrašas panaikinamas._x000d__x000a_&gt; *GO-ERP komentaras (Versija 3):*_x000d__x000a_&gt; Labiau galimas scenarijus. Tikėtina, kad būtų reikiamybė fone(vartotojams nematomai) fiksuoti laiško įrašo naujame laukelyje iš kokios eilės buvo konvertuotas laiškas. Pagal tai sistemos funkcija žinotų, kurios eilės pagrindu uždėti el.pašto adresą į From laukelį._x000d__x000a_* 3 scenarijus:_x000d__x000a_&gt; Kliento laiškas, adresatai nurodoma pagalba@ltgcargo.lt. Laiškas įkrenta į BAK eilę, BAK komandos narys indentifikuoja, kad tai ne jų klausimas ir laišką perskiria į VR eilę. VR komandos narys konvertuoja į užklausą. Iš užklausos rašomas laiškas, užsideda paštas from vagonai@ltgcargo_x000d__x000a_&gt; *GO-ERP komentaras (Versija 3):*_x000d__x000a_&gt; Labiau galimas scenarijus. Pasitarnautų funkcinis įgyvendinimas kaip aprašyta 2 scenarijuje - susikuriant dedikuotą lauką su užstatoma paskutine eile, iš kurios buvo konvertuotas laiškas į užklausą.  _x000d__x000a__x000d__x000a_h1. Atliekamos modifikacijos:_x000d__x000a__x000d__x000a_*&lt;pre&gt;_x000d__x000a_Modifikacijų sprendinio šaltinis: LTG_CRM - #96210 FR3-SPRINT1 System Customizations_x000d__x000a_&lt;/pre&gt;*_x000d__x000a__x000d__x000a_* Atliekamas programavimas ir veiksmų seka, kurios pagrindu laiško siuntėjas nustatomas ir įdedamas į formuojamą juodraštinį laišką._x000d__x000a_&gt; Kodo pagalba sukuriama 'OnLoad' operaciją, kuri iškart, atvėrus juodraščio statuso(status eq draft) įrašą, užkeičia 'From' laukelį el. pašto adresu paimtu iš 'Users' modulyje sukurto naujo laukelio 'Email Replies Mailbox'(goerp_emailrepliesmailbox)_x000d__x000a_&gt; Jeigu 'yes/no' laukelis 'Enable All Email Replies from Other Mailbox?' pažymėtas kaip 'No', tuomet ignoruoti el.pašto adreso paėmimą ir nedaryti nieko;_x000d__x000a_&gt; Jeigu vartotojas ištrina Email įraše įdėtą 'From' adresą, kodas nedaro nieko;_x000d__x000a_* Sukuriamas naujas 'Yes/No' tipo laukelis 'Users'(vartotojų) modulyje pavadinimu 'Enable All Email Replies from Other Mailbox?' (LT.&quot;Įgalinti visus el.laiškų atsakymus kitos pašto dėžutės pagrindu?&quot;)_x000d__x000a_&gt; Sukurtas laukelis patalpinamas į 'Users' modulio pagrindinę formą (Main form) kaip trigger/checkbox (jungtukas/varnelė)_x000d__x000a_* Sukuriamas naujas laukelis 'Users'(vartotojų) modulyje pavadinimu 'Email Replies Mailbox (LT.&quot;Laiškų atsakymų el.paštas&quot;) skirtas įrašyti el.pašto adresą(bendrinės pašto dėžutės), kuris būtų panaudojamas atsakinėjant į eilės laiškus._x000d__x000a_&gt; Sukurtas laukelis patalpinamas į 'Users' modulio pagrindinę formą (Main form)_x000d__x000a_* Sukuriamas 'Business Rule'(verslo taisyklė) atvaizduoti 'Email Replies Mailbox' laukelį tik tuomet, kai 'Enable All Email Replies from Other Mailbox?' yra pažymėtas, kaip 'Yes'_x000d__x000a__x000d__x000a_Rezultatas:_x000d__x000a_Kai vartotojas paspaudžia 'reply' laiške ir sistema užkrauna naują el.laiško atsakymo įrašą, kodas su OnLoad operacija uždeda vartotojo kortelėje, naujame laukelyje, nurodytą el.paštą į 'From' lauką. _x000d__x000a_Jeigu vartotojui netinka įdėtas el.pašto adresas - savarankiškai pasikeičia ištrindamas įdėtą ir pasirinkdamas arba įrašydamas naują._x000d__x000a_"/>
    <d v="2025-09-18T00:00:00"/>
    <d v="2025-11-07T00:00:00"/>
    <n v="40"/>
    <b v="0"/>
    <n v="11"/>
    <n v="11"/>
    <n v="11.75"/>
    <n v="11.75"/>
    <s v="[List]"/>
    <s v="2025-09-19T10:31:00Z"/>
    <m/>
    <n v="96220"/>
    <x v="0"/>
    <n v="4.4"/>
    <n v="0.374468085106383"/>
  </r>
  <r>
    <n v="96218"/>
    <n v="512"/>
    <s v="LG-D365 CRM Project"/>
    <n v="2"/>
    <s v="Feature"/>
    <n v="9"/>
    <s v="Ready for testing"/>
    <b v="0"/>
    <n v="4"/>
    <s v="Normal"/>
    <n v="875"/>
    <s v="VilMat"/>
    <n v="875"/>
    <s v="VilMat"/>
    <n v="96216"/>
    <s v="FR3-SPRINT_1-001 - Risk Assessment/Account modulio modifikacijos "/>
    <s v="h1. Poreikis:_x000d__x000a__x000d__x000a_Kliento kortelėje atsiranda laukas, kur galima kopijuoti nuorodą. _x000d__x000a_Įtraukti į tikrinimo retrospektyvą._x000d__x000a_Kad būtų galimybė įtraukti į rodinius stulpelį_x000d__x000a__x000d__x000a_h1. Patvirtintas poreikis:_x000d__x000a__x000d__x000a_Klientų prevencijos informaciją fiksuoti į tikrinimo retrospektyvą. Kliento prevencijos įraše._x000d__x000a_Galimybė Kliento objekte įsitraukti į rodinio stulpelį Dokumentas DVS laukelį_x000d__x000a__x000d__x000a_Padaryti įrašą (risk assesment) kaip neaktyvų, kaip pabaigos data yra senesnė negu šiandien. _x000d__x000a_Įtraukti papildomą laukelį į rodinį Kliento kortelėje &gt; Skirtukas dokumentai &gt; Kliento prevencijos informacija sekcija &gt; Įrašo statusas / būklė _x000d__x000a_Rodyti aktyvius/neaktyvius (kaip Marketingo sekcija)_x000d__x000a__x000d__x000a_h1. Atliekamos modifikacijos:_x000d__x000a__x000d__x000a_*&lt;pre&gt;_x000d__x000a_Modifikacijų sprendinio šaltinis: LTG_CRM - #96210 FR3-SPRINT1 System Customizations_x000d__x000a_&lt;/pre&gt;*_x000d__x000a__x000d__x000a_Risk Assessment:_x000d__x000a_* Aktyvuojamas 'Audit History' moduliui 'Risk Assessment';_x000d__x000a_* Įrašo 'Risk Assessment' deaktyvavimas, kai nustatyta 'pabaigos data' tampa senesnė nei šiandienos data. Atliekamas power automate flow/workflow proceso kūrimas:_x000d__x000a_&gt; Sukuriamas power automate flow/workflow_x000d__x000a_&gt; Flow/Workflow tikrina visus aktyvius 'Risk Assessment' įrašus_x000d__x000a_&gt; Flow/Workflow auto-kartojasi(recurrent) kiekvieną naktį 3:33 laiku_x000d__x000a_&gt; Jeigu įraše nurodyta laukelio 'Valid to' data yra senesnė nei šiandienos data, pakeisti įrašo statusą į:_x000d__x000a_&gt;&gt; Status (statecode) eq 1_x000d__x000a_&gt;&gt; Status Reason (statuscode) eq 2_x000d__x000a_Account:_x000d__x000a_* Įtraukiamas papildomas stulpelis į 'Account' įraše esantį 'Risk Assessment' 'sub-grid':_x000d__x000a_&gt; Įtraukiamas laukelis: Status (Įrašo statusas/būklė);_x000d__x000a_* Atliekamos korekcijas atvaizduojamai 'Risk Assessment' sub-lentelei:_x000d__x000a_&gt; Įgalinama galimybė rinktis, kurį rodinį, iš galimų pasirinkimų, atvaizduoti sub-lentelėje - view multi-choice_x000d__x000a_"/>
    <d v="2025-09-18T00:00:00"/>
    <d v="2025-11-07T00:00:00"/>
    <n v="40"/>
    <b v="0"/>
    <n v="3.5"/>
    <n v="3.5"/>
    <n v="3.25"/>
    <n v="3.25"/>
    <s v="[List]"/>
    <s v="2025-09-19T10:08:40Z"/>
    <m/>
    <n v="96218"/>
    <x v="0"/>
    <n v="1.4"/>
    <n v="0.4307692307692308"/>
  </r>
  <r>
    <n v="96216"/>
    <n v="512"/>
    <s v="LG-D365 CRM Project"/>
    <n v="2"/>
    <s v="Feature"/>
    <n v="2"/>
    <s v="In Progress"/>
    <b v="0"/>
    <n v="4"/>
    <s v="Normal"/>
    <n v="875"/>
    <s v="VilMat"/>
    <n v="875"/>
    <s v="VilMat"/>
    <n v="96210"/>
    <s v="FR3-SPRINT_1-000 - Risk Assesments (Klientų prevencijos)"/>
    <s v="*Modulio apimtyje atliekami su klientu pasitvirtinti pirmo prioriteto darbai*_x000d__x000a_&lt;pre&gt;_x000d__x000a_Darbai atliekami sprendinyje pavadinimu: LTG_CRM - #96210 FR3-SPRINT1 System Customizations_x000d__x000a_&lt;/pre&gt;"/>
    <d v="2025-09-15T00:00:00"/>
    <d v="2025-11-07T00:00:00"/>
    <n v="40"/>
    <b v="0"/>
    <m/>
    <n v="3.5"/>
    <n v="0"/>
    <n v="3.25"/>
    <s v="[List]"/>
    <s v="2025-09-19T09:48:38Z"/>
    <m/>
    <n v="96216"/>
    <x v="1"/>
    <n v="0"/>
    <n v="0"/>
  </r>
  <r>
    <n v="96215"/>
    <n v="512"/>
    <s v="LG-D365 CRM Project"/>
    <n v="2"/>
    <s v="Feature"/>
    <n v="2"/>
    <s v="In Progress"/>
    <b v="0"/>
    <n v="4"/>
    <s v="Normal"/>
    <n v="875"/>
    <s v="VilMat"/>
    <n v="875"/>
    <s v="VilMat"/>
    <n v="96210"/>
    <s v="FR3-SPRINT_1-000 - Email Messages (El.laiškai)"/>
    <s v="*Modulio apimtyje atliekami su klientu pasitvirtinti pirmo prioriteto darbai*_x000d__x000a_&lt;pre&gt;_x000d__x000a_Darbai atliekami sprendinyje pavadinimu: LTG_CRM - #96210 FR3-SPRINT1 System Customizations_x000d__x000a_&lt;/pre&gt;_x000d__x000a_"/>
    <d v="2025-09-15T00:00:00"/>
    <d v="2025-11-07T00:00:00"/>
    <n v="45"/>
    <b v="0"/>
    <m/>
    <n v="24"/>
    <n v="0"/>
    <n v="25.25"/>
    <s v="[List]"/>
    <s v="2025-09-19T09:46:30Z"/>
    <m/>
    <n v="96215"/>
    <x v="1"/>
    <n v="0"/>
    <n v="0"/>
  </r>
  <r>
    <n v="96214"/>
    <n v="512"/>
    <s v="LG-D365 CRM Project"/>
    <n v="2"/>
    <s v="Feature"/>
    <n v="2"/>
    <s v="In Progress"/>
    <b v="0"/>
    <n v="4"/>
    <s v="Normal"/>
    <n v="875"/>
    <s v="VilMat"/>
    <n v="875"/>
    <s v="VilMat"/>
    <n v="96210"/>
    <s v="FR3-SPRINT_1-000 - Queue/Queue Items (Eilės/eilių įrašai)"/>
    <s v="*Modulio apimtyje atliekami su klientu pasitvirtinti pirmo prioriteto darbai*_x000d__x000a__x000d__x000a_&lt;pre&gt;_x000d__x000a_Darbai atliekami sprendinyje pavadinimu: LTG_CRM - #96210 FR3-SPRINT1 System Customizations_x000d__x000a_&lt;/pre&gt;"/>
    <d v="2025-09-15T00:00:00"/>
    <d v="2025-11-07T00:00:00"/>
    <n v="27"/>
    <b v="0"/>
    <m/>
    <n v="82"/>
    <n v="0"/>
    <n v="49.5"/>
    <s v="[List]"/>
    <s v="2025-09-19T09:45:11Z"/>
    <m/>
    <n v="96214"/>
    <x v="1"/>
    <n v="0"/>
    <n v="0"/>
  </r>
  <r>
    <n v="96213"/>
    <n v="512"/>
    <s v="LG-D365 CRM Project"/>
    <n v="2"/>
    <s v="Feature"/>
    <n v="2"/>
    <s v="In Progress"/>
    <b v="0"/>
    <n v="4"/>
    <s v="Normal"/>
    <n v="875"/>
    <s v="VilMat"/>
    <n v="875"/>
    <s v="VilMat"/>
    <n v="96210"/>
    <s v="FR3-SPRINT_1-000 - Cases (Užklausos)"/>
    <s v="*Modulio apimtyje atliekami su klientu pasitvirtinti pirmo prioriteto darbai*_x000d__x000a__x000d__x000a_&lt;pre&gt;_x000d__x000a_Darbai atliekami sprendinyje pavadinimu: LTG_CRM - #96210 FR3-SPRINT1 System Customizations_x000d__x000a_&lt;/pre&gt;"/>
    <d v="2025-09-15T00:00:00"/>
    <d v="2025-11-07T00:00:00"/>
    <n v="15"/>
    <b v="0"/>
    <m/>
    <n v="39.5"/>
    <n v="0"/>
    <n v="19.5"/>
    <s v="[List]"/>
    <s v="2025-09-19T09:42:40Z"/>
    <m/>
    <n v="96213"/>
    <x v="1"/>
    <n v="0"/>
    <n v="0"/>
  </r>
  <r>
    <n v="96210"/>
    <n v="512"/>
    <s v="LG-D365 CRM Project"/>
    <n v="2"/>
    <s v="Feature"/>
    <n v="2"/>
    <s v="In Progress"/>
    <b v="0"/>
    <n v="4"/>
    <s v="Normal"/>
    <n v="875"/>
    <s v="VilMat"/>
    <n v="875"/>
    <s v="VilMat"/>
    <m/>
    <s v="FR3-20250601 - Užsakymas | 2025"/>
    <s v="*Darbai vykdomi remiantis su klientu suderinta ir pasitvirtinta excel lentele (Dokumentas prisegamas prie užduoties).*_x000d__x000a__x000d__x000a_*Modifikacijos apima šiuo pagrindinius sistemos komponentus:*_x000d__x000a__x000d__x000a_|_.Modulis(LT)|_.Modulis(ENG)|_x000d__x000a_| Eilės | Queue |_x000d__x000a_| Eilių įrašai | Queue Items |_x000d__x000a_| Užklausos | Case |_x000d__x000a_| Klientai | Accounts |_x000d__x000a_| Kontaktai | Contacts |_x000d__x000a_| El.laiškai | Email Messages |_x000d__x000a_| Užduotys | Tasks |_x000d__x000a_| Vartotojai | Users |_x000d__x000a__x000d__x000a_____________x000d__x000a__x000d__x000a_Darbai vykdomi 'agile' būdu keliais sprint'ais. Sprint'e atliktos modifikacijos paketais keliamos į testinę aplinką ir perduodama klientui atllikti vizavimą. Patvirtinus funkcijos išbaigtumą modifikacija keliama į Produkcinę aplinką._x000d__x000a__x000d__x000a_*Numatyti ir suderinti sprint'ai:*_x000d__x000a_* SPRINT_1 (155.5 val.)_x000d__x000a_* SPRINT_2_x000d__x000a_* SPRINT_3_x000d__x000a__x000d__x000a_*Darbai atliekami sprendinyje pavadinimu: LTG_CRM - #96210 FR3-20250601 System Customizations*_x000d__x000a__x000d__x000a_____________x000d__x000a__x000d__x000a_* 2025-09-18 dienai su klientu pasitvirtinta ir suderinta SPRINT_1 darbų apimtis_x000d__x000a_* Šios, pagrindinės, užduoties darbų įvykdymo terminai statomi per SPRINT etapą (SPRINT_1, tada SPRINT_2, tada SPRINT_3)._x000d__x000a_* SPRINT_1 numatoma preliminari darbų pabaiga - *2025-10-24* (dėl kliento testavimo efektyvumo, atsakomumo ir keliamų klausimų gali būti atidėta)"/>
    <d v="2025-09-18T00:00:00"/>
    <d v="2025-10-24T00:00:00"/>
    <n v="27"/>
    <b v="0"/>
    <m/>
    <n v="155.5"/>
    <n v="0"/>
    <n v="101"/>
    <s v="[List]"/>
    <s v="2025-09-19T09:22:41Z"/>
    <m/>
    <n v="96210"/>
    <x v="2"/>
    <n v="0"/>
    <n v="0"/>
  </r>
  <r>
    <n v="96064"/>
    <n v="512"/>
    <s v="LG-D365 CRM Project"/>
    <n v="2"/>
    <s v="Feature"/>
    <n v="17"/>
    <s v="Feedback from customer"/>
    <b v="0"/>
    <n v="4"/>
    <s v="Normal"/>
    <n v="875"/>
    <s v="VilMat"/>
    <n v="875"/>
    <s v="VilMat"/>
    <n v="86268"/>
    <s v="FR1-20250625-002 - CRM/KIWI integracija - Galimybės atverti CRM kortelę iš MS pusės"/>
    <s v="*Kliento poreikis:*_x000d__x000a_* Naujai sukurta CRM skambučio kortelė turėtų būti atidaroma atsiliepusiam į skambutį vartotojui naujame naršyklės lange automatiškai._x000d__x000a_* Klientas tikisi, kad CRM įrašo langas galėtų būti atveriamas vartotojui iš jų Microsoft organizacijos profilio pusės (unikalus servisas, specialūs konektoriai ar kt.)_x000d__x000a__x000d__x000a________________________x000d__x000a__x000d__x000a_*Problematika:*_x000d__x000a_* KiwiCONTACT sistemos atstovas sako, kad toks kortelės pakėlimas nėra jų turimos programos dalis ir jie to nerealizuoja_x000d__x000a_* Pasiūlytas tarpinio serviso kūrimo variantas klientui nepriimtinas (neplanuoja samdyti trečiosios šalies funkcijos kūrimui)_x000d__x000a_* Pagal numatytąją politiką MS neturi galimybės atverti CRM įrašo langą identifikuotam vartotojui, pagal gautą informaciją iš trečiosios šalies sistemos (KiwiCONTACT), nes tai reikštų, kad reiktų jungtis tiesiogiai į to vartotojo įrenginį su kuriuo jis tuo metu dirba (kompiuteris, plančetė, telefonas, etc.)_x000d__x000a_* CRM sistemai nėra lengva identifikuoti, kurie vartotojai šiuo metu dirba su sistema ir yra aktyvūs (vartotojai prisijungia prie CRM ir palieka prisijungę, nors nebedirba)_x000d__x000a__x000d__x000a________________________x000d__x000a__x000d__x000a_*Reikalingi veiksmai:*_x000d__x000a_* Patikrinti ir pateikti atsakymą, kokie yra (jeigu yra) galimi variantai, kaip būtų galima atverti CRM įrašo kortelę identifikuoto vartotojo įrenginyje po gautos duomenų apimties iš trečiosios šalies sistemos. _x000d__x000a_* Jeigu yra galimi variantai - pateikti potencialius/preliminarius vertinimus, kiek toks sprendimas gali pareikalauti darbo valandų."/>
    <m/>
    <d v="2025-09-26T00:00:00"/>
    <n v="70"/>
    <b v="0"/>
    <m/>
    <m/>
    <n v="5.25"/>
    <n v="5.25"/>
    <s v="[List]"/>
    <s v="2025-09-16T11:34:23Z"/>
    <m/>
    <n v="96064"/>
    <x v="2"/>
    <n v="0"/>
    <n v="0"/>
  </r>
  <r>
    <n v="94099"/>
    <n v="512"/>
    <s v="LG-D365 CRM Project"/>
    <n v="3"/>
    <s v="Support"/>
    <n v="3"/>
    <s v="Resolved"/>
    <b v="0"/>
    <n v="4"/>
    <s v="Normal"/>
    <n v="875"/>
    <s v="VilMat"/>
    <n v="875"/>
    <s v="VilMat"/>
    <m/>
    <s v="LTG INFRA/LINK testuotojų mokymai - dalyvavimo minutės"/>
    <s v="Dalyvaujama EY atliekamuose mokymuose ateityje gebėjimui perimti ir atlikti produkto aptarnavimą"/>
    <d v="2025-08-05T00:00:00"/>
    <d v="2025-08-21T00:00:00"/>
    <n v="100"/>
    <b v="0"/>
    <m/>
    <m/>
    <n v="6"/>
    <n v="6"/>
    <s v="[List]"/>
    <s v="2025-08-05T13:19:09Z"/>
    <m/>
    <n v="94099"/>
    <x v="2"/>
    <n v="0"/>
    <n v="0"/>
  </r>
  <r>
    <n v="94020"/>
    <n v="512"/>
    <s v="LG-D365 CRM Project"/>
    <n v="3"/>
    <s v="Support"/>
    <n v="3"/>
    <s v="Resolved"/>
    <b v="0"/>
    <n v="7"/>
    <s v="Immediate"/>
    <n v="830"/>
    <s v="EgiAsi"/>
    <n v="875"/>
    <s v="VilMat"/>
    <m/>
    <s v="Kliento prevencijos informacija - atvaizdavimo pakeitimas"/>
    <s v="Sveiki, užsakau darbą, vykdyti nedelsiant, nelaukiant kitų prioritetų suderinimo, nes tai susiję su audito rekomendacija._x000d__x000a__x000d__x000a_Į &quot;Naujas kliento prevencijos įrašas&quot; kortelę įterpti naują lauką nuorodai įkopijuoti (idealu kad būtų kaip &quot;Dokumentų vieta&quot;, su gaubliuku, kurė paspaudus atvertų nuorodą). Pridedu pav. su vieta. _x000d__x000a_Lauko pavadinimas &quot;Dokumentas DVS/ DVS document&quot;."/>
    <d v="2025-08-06T00:00:00"/>
    <d v="2025-08-08T00:00:00"/>
    <n v="100"/>
    <b v="0"/>
    <n v="2.5"/>
    <n v="2.5"/>
    <n v="2.5"/>
    <n v="2.5"/>
    <s v="[List]"/>
    <s v="2025-08-05T05:05:10Z"/>
    <m/>
    <n v="94020"/>
    <x v="2"/>
    <n v="2.5"/>
    <n v="1"/>
  </r>
  <r>
    <n v="91467"/>
    <n v="512"/>
    <s v="LG-D365 CRM Project"/>
    <n v="2"/>
    <s v="Feature"/>
    <n v="17"/>
    <s v="Feedback from customer"/>
    <b v="0"/>
    <n v="4"/>
    <s v="Normal"/>
    <n v="875"/>
    <s v="VilMat"/>
    <n v="830"/>
    <s v="EgiAsi"/>
    <m/>
    <s v="FR2-20250625-000 - Kliento migravimas iš Sales Hub į Copilot Service Workspace programą"/>
    <s v="Atliekama sistemos analizė ar įmanoma klientui, be didelių išlaidų, persikvalifikuoti iš Sales Hub į Service Workspace programą išlaikant tas pačias formas, tačiau persikvalifikuojant dirbti su nauju dizainu._x000d__x000a_Atlikus analizę informuojamas klientas apie perėjimo galimybes. _x000d__x000a__x000d__x000a_Migravimas į Service Workspace programą tiesiogiai susijęs su telefonijos sprendimo integravimusi. Nuo to priklausys ar klientas galėtų dirbti su skambučiais naujame, programos suteikiamame, dizaine._x000d__x000a_Užduotis susijusi su: #86268 "/>
    <m/>
    <d v="2025-07-31T00:00:00"/>
    <n v="60"/>
    <b v="0"/>
    <n v="30"/>
    <n v="30"/>
    <n v="5.25"/>
    <n v="5.25"/>
    <s v="[List]"/>
    <s v="2025-06-25T11:48:05Z"/>
    <m/>
    <n v="91467"/>
    <x v="2"/>
    <n v="18"/>
    <n v="3.428571428571428"/>
  </r>
  <r>
    <n v="91466"/>
    <n v="512"/>
    <s v="LG-D365 CRM Project"/>
    <n v="2"/>
    <s v="Feature"/>
    <n v="17"/>
    <s v="Feedback from customer"/>
    <b v="0"/>
    <n v="4"/>
    <s v="Normal"/>
    <n v="875"/>
    <s v="VilMat"/>
    <n v="830"/>
    <s v="EgiAsi"/>
    <n v="86268"/>
    <s v="FR1-20250625-001 - Funkcinio-techninio projektavimo dokumento paruošimas ir perdavimas klientui (KIWI Integracija)"/>
    <s v="Paruošiamas funkcinis - techninis, dvipusės KIWI telefonijos sprendimo integracijos su CRM, dokumentas_x000d__x000a_"/>
    <m/>
    <m/>
    <n v="100"/>
    <b v="0"/>
    <n v="32"/>
    <n v="32"/>
    <n v="31.5"/>
    <n v="31.5"/>
    <s v="[List]"/>
    <s v="2025-06-25T11:43:50Z"/>
    <m/>
    <n v="91466"/>
    <x v="2"/>
    <n v="32"/>
    <n v="1.015873015873016"/>
  </r>
  <r>
    <n v="90447"/>
    <n v="512"/>
    <s v="LG-D365 CRM Project"/>
    <n v="2"/>
    <s v="Feature"/>
    <n v="2"/>
    <s v="In Progress"/>
    <b v="0"/>
    <n v="4"/>
    <s v="Normal"/>
    <n v="875"/>
    <s v="VilMat"/>
    <n v="875"/>
    <s v="VilMat"/>
    <m/>
    <s v="FR3-20250601 - Nauji kliento poreikiai | susitikimų minutės (Pradžia 2025-06-04) | LTG/GO-ERP"/>
    <s v="Susitikimo metu aptariami potencialūs poreikiai ir jų galimybės būti įgyvendintomis, remiantis sistemos galimybėmis._x000d__x000a__x000d__x000a_Pirmas susitikimas 2025-06-04:_x000d__x000a_* Aptarti pirmieji 14 punktų iš kliento poreikių excelio sąrašo_x000d__x000a__x000d__x000a_Antras susitikimas 2025-06-09:_x000d__x000a_* Aptarti sekantys punktai iki 22-24 poreikio_x000d__x000a__x000d__x000a_Trečiasis susitikimas 2025-06-11:_x000d__x000a_* Aptarti sekantys punktai iki 41 poreikio_x000d__x000a__x000d__x000a_Ketvirtasis susitikimas 2025-06-12:_x000d__x000a_* Aptarti sekantys punktai iki 45 poreikio_x000d__x000a__x000d__x000a_Penktasis susitikimas 2025-08-27:_x000d__x000a_* Aptarta ir susiderinta dalis pirmo prioriteto poreikių_x000d__x000a__x000d__x000a_Šeštasis susitikimas 2025-08-28:_x000d__x000a_* Aptarta ir susiderinta dalis pirmo prioriteto poreikių_x000d__x000a__x000d__x000a_Septintasis susitikimas 2025-09-02:_x000d__x000a_* Aptarta ir susiderinta dalis pirmo prioriteto poreikių_x000d__x000a__x000d__x000a_Aštuntasis susitikimas 2025-09-03:_x000d__x000a_* Aptarta ir susiderinta dalis pirmo prioriteto poreikių_x000d__x000a__x000d__x000a_Devintasis susitikimas 2025-09-10:_x000d__x000a_* Aptarta SLA skaičiavimo logika ir keliami poreikiai modifikacijoms susijusiems šia tema, pagal poreikių excelį_x000d__x000a__x000d__x000a_Dešimtasis susitikimas 2025-09-12:_x000d__x000a_* Aptarti ir suderinti galutiniai pirmo prioriteto darbai, jų apimtys, techniniai išpildymai_x000d__x000a__x000d__x000a_Vienuoliktasis susitikimas 2025-09-23:_x000d__x000a_* Aptarta ir suderinta dalis antro prioriteto poreikių_x000d__x000a__x000d__x000a_Dvyliktasis susitikimas 2025-09-24:_x000d__x000a_* Aptarta ir suderinta dalis antro prioriteto poreikių_x000d__x000a__x000d__x000a_Tryliktasis susitikimas 2025-09-30:_x000d__x000a_* Aptarta ir suderinta dalis antro prioriteto poreikių, iškelti papildomi poreikiai_x000d__x000a__x000d__x000a_Keturioliktasis susitikimas 2025-10-01:_x000d__x000a_* Aptarta ir suderinta dalis antro prioriteto poreikių, aptarti alternatyvūs įgyvendinimo scenarijai_x000d__x000a__x000d__x000a_Penkioliktasis susitikimas 2025-10-02:_x000d__x000a_* Aptarta ir suderinta dalis antro prioriteto poreikių, aptarti alternatyvūs įgyvendinimo scenarijai, iškelti papildomi poreikiai_x000d__x000a__x000d__x000a_Šešioliktasis susitikimas 2025-10-08:_x000d__x000a_* Aptarta ir suderinta dalis antro prioriteto poreikių, pasiūlyta alternatyvių įgyvendinimo scenarijų_x000d__x000a__x000d__x000a_Septynioliktasis susitikimas 2025-10-09:_x000d__x000a_* Aptarta ir suderinta dalis antro prioriteto poreikių, suderintas alternatyvus funkcinis įgyvendinimas pirminio poreikio atžvilgiu_x000d__x000a__x000d__x000a_Aštuonioliktasis susitikimas 2025-10-13:_x000d__x000a_* Aptarta ir suderinta dalis antro prioriteto poreikių, aptartos pranešimų siuntimo variacijos ir galimas alternatyvus pranešimų siuntimo metodas užklausų atveju_x000d__x000a__x000d__x000a________________x000d__x000a__x000d__x000a_Dokumento pateikimas klientui su pradiniais komentarais:_x000d__x000a_* Klientui pateikta naujausia dokumento versija 2025-06-23_x000d__x000a__x000d__x000a_Toliau vykdomas sąrašo papildymas iš kliento, atitinkamai vertinimas poreikių be iteracijos su klientu ir pateikiant trumpus atsakymus į punktus klientui._x000d__x000a__x000d__x000a________________x000d__x000a__x000d__x000a_2025-09-17:_x000d__x000a_* Pateikta atnaujinta vertinimo lentelė su atnaujintu poreikių exceliu ir papildytais komentarais bei vertinimais_x000d__x000a__x000d__x000a_2025-09-18:_x000d__x000a_* Klientas patvirtina užsakomus 1-o prioriteto poreikius_x000d__x000a__x000d__x000a_Suplanuotas pirmo prioriteto darbų grafikas:_x000d__x000a_Pradžia: 2025-09-18_x000d__x000a_Pabaiga: 2025-10-24_x000d__x000a__x000d__x000a_2025-09-23:_x000d__x000a_* Pradėti derinti antro prioriteto poreikiai  "/>
    <d v="2025-06-04T00:00:00"/>
    <m/>
    <n v="80"/>
    <b v="0"/>
    <n v="795"/>
    <n v="795"/>
    <n v="81.5"/>
    <n v="81.5"/>
    <s v="[List]"/>
    <s v="2025-06-04T16:18:51Z"/>
    <m/>
    <n v="90447"/>
    <x v="1"/>
    <n v="636"/>
    <n v="7.803680981595092"/>
  </r>
  <r>
    <n v="86268"/>
    <n v="512"/>
    <s v="LG-D365 CRM Project"/>
    <n v="2"/>
    <s v="Feature"/>
    <n v="17"/>
    <s v="Feedback from customer"/>
    <b v="0"/>
    <n v="4"/>
    <s v="Normal"/>
    <n v="830"/>
    <s v="EgiAsi"/>
    <n v="830"/>
    <s v="EgiAsi"/>
    <m/>
    <s v="FR1-20250625-000 - CRM &lt;&gt; KIWI integracija"/>
    <s v="Sveiki, turim poreikį integracijai tarp CRM ir KiwiCONTACT. _x000d__x000a_Siunčiu API dokumentaciją. URL bus https://data.cc.litrail.lt/_x000d__x000a__x000d__x000a_Poreikis jau anksčiau buvo nagrinėtas su Pijumi, bet gal reiks viską pakartoti._x000d__x000a__x000d__x000a_Preliminarus siekiamas rezultatas - kad paskambinus Klientui per KIWI, atsidarytų CRM Kliento kortelė ir susikurtų užklausa (jei taip galima)._x000d__x000a_Kol kas tikslaus proceso nėra, gryninamasi, šią savaitę sugrįšiu su detalėm. _x000d__x000a__x000d__x000a_Būtų gerai pasiplanuoti kitai savaitei resursus susitikimui._x000d__x000a_"/>
    <m/>
    <m/>
    <n v="85"/>
    <b v="0"/>
    <n v="16"/>
    <n v="48"/>
    <n v="17"/>
    <n v="53.75"/>
    <s v="[List]"/>
    <s v="2025-04-28T11:14:50Z"/>
    <m/>
    <n v="86268"/>
    <x v="2"/>
    <n v="13.6"/>
    <n v="0.7999999999999999"/>
  </r>
  <r>
    <n v="78569"/>
    <n v="512"/>
    <s v="LG-D365 CRM Project"/>
    <n v="3"/>
    <s v="Support"/>
    <n v="7"/>
    <s v="Stalled"/>
    <b v="0"/>
    <n v="4"/>
    <s v="Normal"/>
    <n v="830"/>
    <s v="EgiAsi"/>
    <n v="830"/>
    <s v="EgiAsi"/>
    <m/>
    <s v="BDAR atitikties užtikrinimas"/>
    <s v="Reikalingas sprendimas, kuris užtikrintų technines ir organizacines priemones duomenims apsaugoti pagal GDPR reikalavimus, taip pat turi būti užtikrinamos suprojektuotos duomenų apsaugos ir numatytosios duomenų apsaugos principų laikymasi (BDAR 25 str.), įskaitant, bet tuo neapsiribojant, saugojimo terminų nustatymą, asmens duomenų anonimiškumą (pseudonimizavimą) ar ištrynimą automatizuotomis priemonėmis ir kt._x000d__x000a__x000d__x000a_"/>
    <m/>
    <m/>
    <n v="0"/>
    <b v="0"/>
    <m/>
    <m/>
    <n v="0.5"/>
    <n v="0.5"/>
    <s v="[List]"/>
    <s v="2025-01-14T07:14:33Z"/>
    <m/>
    <n v="78569"/>
    <x v="2"/>
    <n v="0"/>
    <n v="0"/>
  </r>
  <r>
    <n v="78567"/>
    <n v="512"/>
    <s v="LG-D365 CRM Project"/>
    <n v="3"/>
    <s v="Support"/>
    <n v="3"/>
    <s v="Resolved"/>
    <b v="0"/>
    <n v="4"/>
    <s v="Normal"/>
    <n v="830"/>
    <s v="EgiAsi"/>
    <n v="830"/>
    <s v="EgiAsi"/>
    <m/>
    <s v="Priedų nukrovimas iš DB "/>
    <s v="Poreikis yra susitvarkyti visokių priedų kaupimą DB, nes stoja greitaveika ir labai greit pildosi vieta._x000d__x000a_Buvome informuoti, jog turite kažkokį sprendimą._x000d__x000a__x000d__x000a_Prašau pavertinti kiek kainuotų šio sprendimo įdiegimas ir failų sutvarkymas valandomis ir laike._x000d__x000a_"/>
    <m/>
    <m/>
    <n v="0"/>
    <b v="0"/>
    <n v="65"/>
    <n v="65"/>
    <n v="3.75"/>
    <n v="3.75"/>
    <s v="[List]"/>
    <s v="2025-01-14T06:48:34Z"/>
    <m/>
    <n v="78567"/>
    <x v="2"/>
    <n v="0"/>
    <n v="0"/>
  </r>
  <r>
    <n v="78226"/>
    <n v="512"/>
    <s v="LG-D365 CRM Project"/>
    <n v="3"/>
    <s v="Support"/>
    <n v="3"/>
    <s v="Resolved"/>
    <b v="0"/>
    <n v="4"/>
    <s v="Normal"/>
    <n v="996"/>
    <s v="VlaRaz"/>
    <n v="875"/>
    <s v="VilMat"/>
    <m/>
    <s v="Patikrinti techninę dokumentaciją ir vartotojų vadovus"/>
    <s v="https://pm.go-erp.eu/issues/69759_x000d__x000a_https://pm.go-erp.eu/issues/69762_x000d__x000a_https://pm.go-erp.eu/issues/69789_x000d__x000a_"/>
    <d v="2025-01-16T00:00:00"/>
    <m/>
    <n v="100"/>
    <b v="0"/>
    <n v="12"/>
    <n v="12"/>
    <n v="0"/>
    <n v="0"/>
    <s v="[List]"/>
    <s v="2025-01-08T09:36:55Z"/>
    <m/>
    <n v="78226"/>
    <x v="2"/>
    <n v="12"/>
    <n v="0"/>
  </r>
  <r>
    <n v="77348"/>
    <n v="512"/>
    <s v="LG-D365 CRM Project"/>
    <n v="2"/>
    <s v="Feature"/>
    <n v="7"/>
    <s v="Stalled"/>
    <b v="0"/>
    <n v="4"/>
    <s v="Normal"/>
    <n v="875"/>
    <s v="VilMat"/>
    <n v="830"/>
    <s v="EgiAsi"/>
    <m/>
    <s v="Pridėti papildomą parinktį užklausos laukelyje &quot;Pretenzijos nepagrįstumo priežastis&quot;"/>
    <s v="Poreikis:_x000d__x000a_Papildyti: Pretenzija teikiama klientui_x000d__x000a__x000d__x000a_Techninis išpildymas:_x000d__x000a_* Modifikuojamas laukelis: Pretenzijos nepagrįstumo priežastis (Label: Claim rejection reaso; logical: ey_claimrejectionreason)_x000d__x000a_* Laukelis papildomas pasirinkimu: Pretenzija teikiama klientui (Angl. Claim applied to customer)_x000d__x000a_* Modifikacijos atliekamos modulyje: Užklausos (Angl.Cases)_x000d__x000a__x000d__x000a_Vertinimas:_x000d__x000a_* Laukelio modifikacijos - 0.5val._x000d__x000a_* Testavimas trijose aplinkose - 1val._x000d__x000a_* Modifikacijų pernešimas į TEST ir PROD aplinkas - 2 val._x000d__x000a_* *VISO: 3,5val. darbų*_x000d__x000a__x000d__x000a_In-Scope:_x000d__x000a_* Claim rejection reason laukelio papildymas papildomu pasirinkimu_x000d__x000a_* Testavimas DEV, TEST, PROD aplinkose_x000d__x000a_* Modifikacijų migravimas iš DEV į TEST ir PROD aplinkas_x000d__x000a_* Laukelio vertimo į lietuvių kalbą aplikavimas_x000d__x000a__x000d__x000a_Out-of-scope:_x000d__x000a_* Bet kokių techninių dokumentų kūrimas/papildymas_x000d__x000a_* Laukelio tipo keitimas_x000d__x000a_* Esamų parinkčių šalinimas_x000d__x000a_* Kitų nesuderintų parinkčių papildymas_x000d__x000a__x000d__x000a_!clipboard-202412101600-i4jym.png!_x000d__x000a_"/>
    <m/>
    <m/>
    <n v="0"/>
    <b v="0"/>
    <n v="3.5"/>
    <n v="3.5"/>
    <n v="0.5"/>
    <n v="0.5"/>
    <s v="[List]"/>
    <s v="2024-12-10T14:10:18Z"/>
    <m/>
    <n v="77348"/>
    <x v="2"/>
    <n v="0"/>
    <n v="0"/>
  </r>
  <r>
    <n v="76336"/>
    <n v="512"/>
    <s v="LG-D365 CRM Project"/>
    <n v="2"/>
    <s v="Feature"/>
    <n v="3"/>
    <s v="Resolved"/>
    <b v="0"/>
    <n v="4"/>
    <s v="Normal"/>
    <n v="875"/>
    <s v="VilMat"/>
    <n v="875"/>
    <s v="VilMat"/>
    <m/>
    <s v="FR - Užduočių(Task) ir Užklausų(Case) modulių modifikacijos"/>
    <s v=""/>
    <m/>
    <m/>
    <n v="100"/>
    <b v="0"/>
    <m/>
    <n v="462.5"/>
    <n v="2.25"/>
    <n v="687.4"/>
    <s v="[List]"/>
    <s v="2024-11-29T16:09:16Z"/>
    <m/>
    <n v="76336"/>
    <x v="2"/>
    <n v="0"/>
    <n v="0"/>
  </r>
  <r>
    <n v="67630"/>
    <n v="512"/>
    <s v="LG-D365 CRM Project"/>
    <n v="2"/>
    <s v="Feature"/>
    <n v="3"/>
    <s v="Resolved"/>
    <b v="0"/>
    <n v="4"/>
    <s v="Normal"/>
    <n v="875"/>
    <s v="VilMat"/>
    <n v="830"/>
    <s v="EgiAsi"/>
    <m/>
    <s v="Teams Adaptive Cards - Pakartotiniai pranešimai nurodytam asmeniui į Teams apie tą pačią užduotį"/>
    <s v="Labas, gal jau klausiau bet noriu užsitvirtinti: ar techniškai įmanoma padaryti Teams tipo užduotis (kai Teams iššoka su flow) daugkartines? t.y. dabar sukūrus tokią gauna nelicencijuotas asmuo į Teams ir gali atsakyti ir užduotis užsidaro. Ar ją galima esant poreikiui tikslintis informaciją atidarinėti/ inicijuoti daug kartų tą pačią - kol tiks atsakymas? Iškviesti tą flow vėl ir vėl kaip suprantu reikia. Nes dabar jei gavau atsakymą, daugiau neina panaudot tos užduoties._x000d__x000a_Egidijus"/>
    <d v="2024-04-23T00:00:00"/>
    <m/>
    <n v="100"/>
    <b v="0"/>
    <m/>
    <m/>
    <n v="1.75"/>
    <n v="1.75"/>
    <s v="[List]"/>
    <s v="2024-04-23T13:30:53Z"/>
    <m/>
    <n v="67630"/>
    <x v="2"/>
    <n v="0"/>
    <n v="0"/>
  </r>
  <r>
    <n v="67288"/>
    <n v="512"/>
    <s v="LG-D365 CRM Project"/>
    <n v="3"/>
    <s v="Support"/>
    <n v="6"/>
    <s v="Rejected"/>
    <b v="0"/>
    <n v="4"/>
    <s v="Normal"/>
    <n v="830"/>
    <s v="EgiAsi"/>
    <n v="830"/>
    <s v="EgiAsi"/>
    <m/>
    <s v="Rizikos vertinimo lauko užkeitimas"/>
    <s v="Sveiki, atsirado poreikis praplėsti rizikos verinimo būseną papildomu pasirinkimu, tačiau dabartinis tipas yra pasirinkimas iš dviejų._x000d__x000a_Prašau pavertinti kiek kainuotų sukurti analogišką lauką su iškrentačiu meniu (daugiau nei 2 reikšmių sąrašas) ir kada galėtumėte realizuoti. _x000d__x000a_Bus reikalingas duomenų sumapinimas ir užkėlimas ant naujo pasirinkimo jau sukurtiems/istoriniams duomenims._x000d__x000a__x000d__x000a__x000d__x000a_"/>
    <d v="2024-04-16T00:00:00"/>
    <m/>
    <n v="0"/>
    <b v="0"/>
    <m/>
    <m/>
    <n v="1.75"/>
    <n v="1.75"/>
    <s v="[List]"/>
    <s v="2024-04-15T12:22:12Z"/>
    <m/>
    <n v="67288"/>
    <x v="2"/>
    <n v="0"/>
    <n v="0"/>
  </r>
  <r>
    <n v="65707"/>
    <n v="512"/>
    <s v="LG-D365 CRM Project"/>
    <n v="3"/>
    <s v="Support"/>
    <n v="2"/>
    <s v="In Progress"/>
    <b v="0"/>
    <n v="4"/>
    <s v="Normal"/>
    <n v="827"/>
    <s v="PijUog"/>
    <m/>
    <m/>
    <m/>
    <s v="Administravimas ir darbų koordinavimas"/>
    <s v=""/>
    <d v="2024-01-01T00:00:00"/>
    <m/>
    <n v="0"/>
    <b v="0"/>
    <m/>
    <m/>
    <n v="8.529999999999999"/>
    <n v="8.529999999999999"/>
    <s v="[List]"/>
    <s v="2024-02-21T09:23:07Z"/>
    <m/>
    <n v="65707"/>
    <x v="2"/>
    <n v="0"/>
    <n v="0"/>
  </r>
</pivotCacheRecords>
</file>

<file path=xl/pivotCache/pivotCacheRecords2.xml><?xml version="1.0" encoding="utf-8"?>
<pivotCacheRecords xmlns="http://schemas.openxmlformats.org/spreadsheetml/2006/main" count="39">
  <r>
    <n v="99745"/>
    <n v="512"/>
    <s v="LG-D365 CRM Project"/>
    <n v="2"/>
    <s v="Feature"/>
    <n v="2"/>
    <s v="In Progress"/>
    <b v="0"/>
    <n v="4"/>
    <s v="Normal"/>
    <n v="875"/>
    <s v="VilMat"/>
    <n v="821"/>
    <s v="GabKoj"/>
    <n v="96214"/>
    <s v="FR3-SPRINT_1-017 - Queue/Queue Items &gt; Convert To Case - Account suradimas ir užpildymas į lookup laukelį"/>
    <s v="h1. Poreikis:_x000d__x000a__x000d__x000a_Sistema turi automatiškai atpažinti įeinančius laiškus pagal domeną (….@domenas.lt) ir parinkti Klientą jei toks yra sistemoje pagal jį, kuriant kitus objektus._x000d__x000a_Bendrinės pašto dėžutės pagal numatytas komandas gauna kliento laiškus į CRM eiles. Laišką konvertuoja į užklausą. Konvertuojant į užklausą reikia rankiniu būdu pasirinkti Klientą. Reikia, kad būtų:_x000d__x000a_1. Jeigu klientas suvestas į CRM pagal domeną įvestų klientą automatiškai.  _x000d__x000a_2. Jeigu nėra įvesta kliento CRM palikti kaip yra dabar t.y. pasirinkimas iš sąrašo._x000d__x000a_3. Turėtų būti galimybė klientą pakeisti ran*kiniu būdu._x000d__x000a_4. Pasirinkimui duotų tik įrašus iš objekto Klientai (neduotų sąrašo iš objekto Kontaktai)._x000d__x000a_Tas pats turėtų būti konvertuojant į galimybes._x000d__x000a_Dedikuoti asmenys dirba per įskiepį (nukreipia laiškus į CRM, tas pats turėtų galioti kuriant užklausą/galimybę per outlook įskiepį._x000d__x000a__x000d__x000a__x000d__x000a_h1. Patvirtintas poreikis:_x000d__x000a__x000d__x000a_Konvertuojant laišką į užklausą:_x000d__x000a_* Kliento ieško iš aktyvių/įjungtų klientų įrašų. (Account Active/ inactive)_x000d__x000a_* Jeigu klientą randa pagal &quot;nuo&quot; adresato domeną automatšikai užpildo kliento laukelį._x000d__x000a_* Jeigu neranda lieka tuščia vieta, pateikiamas sąrašas._x000d__x000a_* Rankiniu būdu yra galimybė pakeisti klientą._x000d__x000a_* Pasirinkimui duotų tik įrašus iš objekto Klientai (neduotųi sąrašo iš objekto Kontaktai)._x000d__x000a_* Jeigu randamas daugiau nei vienas Klientasi su identišku el. paštu tuomet nepildyti kliento laukelio (Convert to case paspaudimo metu)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Emails_x000d__x000a_* 'Convert To Case' funkcijos langas_x000d__x000a__x000d__x000a_______x000d__x000a__x000d__x000a_*Modifikacijos tęstinės - Pirma dalis žemiau*_x000d__x000a_*Antra dalis: #99744*_x000d__x000a__x000d__x000a_______x000d__x000a__x000d__x000a_*'Convert To Case' funkcijos langas:*_x000d__x000a_* Esamas laukas 'Customer' pervadinamas į 'Account'(LT: Klientas)_x000d__x000a_* Esamo lauko filtras nustatomas atvaizduoti tik 'Active' statuso 'Account' įrašus_x000d__x000a__x000d__x000a_*Veikimo eiga (Convert to Case lange):*_x000d__x000a_* Vartotojui paspaudus 'Convert to Case' el. laiško įraše, sistema atidaro konvertavimo langą._x000d__x000a_* Užkrovimo metu (on load event) sistema inicijuoja tikrinimą pagal el. laiško 'From' laukelio el. pašto adresą._x000d__x000a_* Sistema tikrina:_x000d__x000a_** Ar 'Email.From' atitinka kokį nors 'Account.EmailAddress1' lauką CRM sistemoje._x000d__x000a_** Filtruojami tik 'Active' Account įrašai (statecode = Active)._x000d__x000a_* Jei randa tik vieną atitinkantį aktyvų Account:_x000d__x000a_** Automatiškai užpildo 'Account' lauką 'Convert to Case' lange._x000d__x000a_* Jei randa kelis Account įrašus su tuo pačiu el. paštu:_x000d__x000a_** Neužpildo 'Account' lauko – paliekamas tuščias, vartotojas pasirenka rankiniu būdu._x000d__x000a_* Jei neranda jokio 'Account' su tokiu el. paštu:_x000d__x000a_** 'Account' laukas lieka tuščias._x000d__x000a_* Jei el. pašto adresas priklauso tik 'Contact' įrašui:_x000d__x000a_** Sistema nepildo 'Account' lauko (Contact entitetas neįtraukiamas į paiešką)._x000d__x000a_* Vartotojas visada gali rankiniu būdu pasirinkti kitą 'Account' iš sąrašo, tačiau:_x000d__x000a_** Sąrašas turi rodyti tik 'Account' tipo įrašus (ne Kontaktus)._x000d__x000a__x000d__x000a_*Taisyklės:*_x000d__x000a__x000d__x000a_| # | Sąlyga                                              | Veiksmas                               | Rezultatas                       |_x000d__x000a_| - | --------------------------------------------------- | -------------------------------------- | -------------------------------- |_x000d__x000a_| 1 | Vienas aktyvus Account su sutampančiu EmailAddress1 | Užpildyti Account lauką lange          | Account užpildytas automatiškai  |_x000d__x000a_| 2 | Keli aktyvūs Account su tuo pačiu el. paštu         | Neužpildyti Account lauko              | Paliekamas tuščias               |_x000d__x000a_| 3 | Nerasta atitiktis jokiam Account                    | Neužpildyti Account lauko              | Paliekamas tuščias               |_x000d__x000a_| 4 | El. paštas priklauso Contact įrašui                 | Nepildyti Account lauko                | Paliekamas tuščias               |_x000d__x000a_| 5 | Vartotojas pakeičia Account rankiniu būdu           | Leisti pasirinkti tik iš Account įrašų | Užtikrinta duomenų konsistencija |_x000d__x000a__x000d__x000a_*Techninė (DEV) logika:*_x000d__x000a_* Veikimas inicijuojamas Convert to Case dialogo užkrovimo metu (on load event)._x000d__x000a_* Įgyvendinimo būdai:_x000d__x000a_** (DEV) JavaScript (form script) arba plugin (pre-conversion event handler)._x000d__x000a_* Logikos eiga:_x000d__x000a_** Gauti Email.From reikšmę (siuntėjo adresą)._x000d__x000a_** Užklausa į Account modulį:_x000d__x000a_** Filtras:_x000d__x000a_*** EmailAddress1 = Email.From_x000d__x000a_*** StateCode = Active_x000d__x000a_** Jei rezultatų = 1 → nustatyti Account lookup lauką su rasto įrašo ID ir pavadinimu._x000d__x000a_** Jei rezultatų &gt;1 arba =0 → palikti lauką tuščią._x000d__x000a_* Lookup filtre leidžiama rinktis tik Account tipo įrašus (entityfilter: account)._x000d__x000a__x000d__x000a_*Testavimo scenarijai:*_x000d__x000a__x000d__x000a_| # | Testavimo Scenarijus                         | Reikšmė/Sąlyga                                                | Planuojamas rezultatas                                       |_x000d__x000a_| - | ------------------------------------------- | ---------------------------------------------------------------- | ----------------------------------------------------- |_x000d__x000a_| 1 | Vienas aktyvus Account su tokiu el. paštu   | Email.From = [client@company.com](mailto:client@company.com)     | Convert to Case lange Account automatiškai užpildytas |_x000d__x000a_| 2 | Keli aktyvūs Account su tuo pačiu el. paštu | Email.From = [duplicate@domain.com](mailto:duplicate@domain.com) | Account laukas lieka tuščias                          |_x000d__x000a_| 3 | Account įrašas neaktyvus                    | Email.From = [old@inactive.com](mailto:old@inactive.com)         | Account laukas lieka tuščias                          |_x000d__x000a_| 4 | El. paštas priklauso Contact įrašui         | Email.From = [person@contact.com](mailto:person@contact.com)     | Account laukas lieka tuščias                          |_x000d__x000a_| 5 | El. paštas neatpažintas sistemoje           | Email.From = [unknown@domain.com](mailto:unknown@domain.com)     | Account laukas lieka tuščias                          |_x000d__x000a_| 6 | Vartotojas pasirenka Account rankiniu būdu  | Vartotojas pasirenka iš sąrašo                                   | Leidžiama rinktis tik Account įrašus                  |_x000d__x000a__x000d__x000a_Ši funkcija automatizuoja Account lauko užpildymą Convert to Case lange, dar prieš Case sukūrimą._x000d__x000a_Sistema automatiškai ieško aktyvaus Account pagal el. laiško siuntėjo adresą ir užpildo lauką, jei randa vienintelį atitikmenį._x000d__x000a_Tokiu būdu sumažinamas rankinis darbas, išvengiama neteisingų priskyrimų ir užtikrinamas tikslesnis Case susiejimas su atitinkamu klientu."/>
    <d v="2025-09-18T00:00:00"/>
    <d v="2025-11-07T00:00:00"/>
    <n v="0"/>
    <b v="0"/>
    <n v="10"/>
    <n v="10"/>
    <n v="1.25"/>
    <n v="1.25"/>
    <s v="[List]"/>
    <s v="2025-10-16T16:31:05Z"/>
    <m/>
    <n v="99745"/>
    <x v="0"/>
    <n v="0"/>
    <n v="0"/>
  </r>
  <r>
    <n v="99744"/>
    <n v="512"/>
    <s v="LG-D365 CRM Project"/>
    <n v="2"/>
    <s v="Feature"/>
    <n v="1"/>
    <s v="New"/>
    <b v="0"/>
    <n v="4"/>
    <s v="Normal"/>
    <n v="875"/>
    <s v="VilMat"/>
    <n v="821"/>
    <s v="GabKoj"/>
    <n v="96214"/>
    <s v="FR3-SPRINT_1-016 - Queue/Queue Items &gt; Convert To Case - Kontakto pagal klientą užpildymas ir pernešimas į sukuriamą užklausos įrašą"/>
    <s v="h1. Poreikis:_x000d__x000a__x000d__x000a_Kovertuojant laišką į užklausą Papildomai užklausoje rankiniu būdu reikia įvesti klientą / kontaktą iš kurio gautas el. laiškas. _x000d__x000a_Komentaras 1. čia turėta mintyje, kad kai klientas rašo laišką, pagal jo el. paštą automatiškai užklausoje įkristų, kaip Kontaktas ir nereikėtų rankiniu būdu suvedinėti. Pridėtas pav., kur nurodyta, kur turėtų atsirasti įrašas._x000d__x000a__x000d__x000a_Tiekėjo siūlomas išpildymas:_x000d__x000a_* Papildomas konvertavimo langas kontakto laukeliu._x000d__x000a_* Laukelis automatiškai užpildomas jeigu laiško siuntėjas sistemoje yra sukurtas kaip 'kontaktas'._x000d__x000a_* Atlikus konversiją užklausoje parinktasis kontaktas įdedamas į 'kontaktas' laukelį_x000d__x000a__x000d__x000a_h1. Patvirtintas poreikis:_x000d__x000a__x000d__x000a_Kontaktą fiksuotų tik konvertavimo metu, tolimesnių susirašinėjimų kontaktų nefiksuoti:_x000d__x000a_Konvertuojant laišką sistema automatiškai parenka Klientą pagal domeną._x000d__x000a_Iš Kliento esamo kontaktų sąrašo parenka konkretų kontaktą._x000d__x000a_Jeigu suvesto kontakto nėra, palieka tuščią vietą._x000d__x000a_Jeigu kontaktuose yra daugiau nei vienas kontaktas su tuo pačiu el. paštu, palieka tuščią vietą_x000d__x000a_Jeigu Klientas parinktas rankiniu būdu, užėjus į kontakto lauką, paspaudus enter rodytų tos įmonės kontaktus.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Emails_x000d__x000a_* 'Convert To Case' funkcijos langas_x000d__x000a__x000d__x000a_______x000d__x000a__x000d__x000a_*Modifikacijos tęstinės - Antra dalis žemiau*_x000d__x000a_*Pirma dalis: #99745*_x000d__x000a__x000d__x000a_______x000d__x000a__x000d__x000a_*Tikslas:*_x000d__x000a_Užtikrinti, kad 'Convert to Case' lange automatiškai būtų užpildomas 'Contact' (Kontaktas) laukas tik tuo atveju, jei el. laiško siuntėjo adresas atitinka vieną iš kontakto įrašų, susietų su parinktu 'Account' (Klientu)._x000d__x000a_Tikslas – užtikrinti, kad konvertuojant el. laišką į užklausą kontaktas būtų priskiriamas tik prie teisingo kliento ir išvengti neteisingų susiejimų._x000d__x000a__x000d__x000a_*Bendroji logika:*_x000d__x000a_* Funkcija vykdoma tik „Convert to Case“ lange, dar prieš 'Case' įrašo sukūrimą._x000d__x000a_* Pirmiausia nustatomas ir užpildomas 'Account' (Klientas) pagal atskirą taisyklę (pirmoji funkcijos dalis)._x000d__x000a_* Tik po to vykdoma 'Contact' (Kontaktas) parinkimo logika, susieta su tuo pačiu 'Account'._x000d__x000a_* Kontaktas priskiriamas tik tuo atveju, jei jis priklauso jau nustatytam 'Account' ir sutampa jo el. pašto adresas su el. laiško „From“ laukelio adresu._x000d__x000a_* Jei 'Account' laukas nebuvo automatiškai užpildytas, kontaktas nenustatomas ir neužpildomas, net jei sistemoje yra atitikmuo._x000d__x000a_* 'Contact' lookup tipo lange rodomi tik tie kontaktai, kurie priklauso pasirinktai įmonei (Account)._x000d__x000a__x000d__x000a_*Verslo taisyklės:*_x000d__x000a__x000d__x000a_| # | Sąlyga                                                                       | Veiksmas                                                                                  | Rezultatas                                                  |_x000d__x000a_| - | ---------------------------------------------------------------------------- | ----------------------------------------------------------------------------------------- | ----------------------------------------------------------- |_x000d__x000a_| 1 | Account automatiškai nustatytas pagal el. paštą                       | Ieškoti kontakto, kuris priklauso šiam Account ir turi tą patį el. paštą kaip laiško From | Jei randamas, Contact užpildomas automatiškai               |_x000d__x000a_| 2 | Nerandamas kontaktas tarp to Account kontaktų                                | Nepildyti Contact lauko                                                                   | Kontaktas lieka tuščias                                     |_x000d__x000a_| 3 | Daugiau nei vienas kontaktas su tuo pačiu el. paštu tarp to Account kontaktų | Nepildyti Contact lauko                                                                   | Paliekamas tuščias                                          |_x000d__x000a_| 4 | Account laukas konvertavimo lange **tuščias**                                | Nevykdyti kontakto paieškos                                                               | Contact laukas nebus automatiškai užpildytas                |_x000d__x000a_| 5 | Rankiniu būdu parinktas Account konvertavimo lange                           | Filtruoti Contact lookup sąrašą pagal pasirinktą Account                                  | Rodyti tik susietus su tuo Account kontaktus                |_x000d__x000a_| 6 | Vartotojas rankiniu būdu pasirenka kitą kontaktą                             | Leisti pasirinkti tik iš susietų su tuo Account kontaktų                                  | Užtikrintas duomenų vientisumas                             |_x000d__x000a_| 7 | Paspaudus „OK“ (Convert to Case)                                             | Į Case perkelti pasirinktus Account ir Contact įrašus                                     | `customerid` ir `primarycontactid` užpildomi sukurtame Case |_x000d__x000a__x000d__x000a_*(DEV)Techninė logika:*_x000d__x000a_* Sukuriamas naujas/panaudojamas esamas laukas 'Contact'(LT: Kontaktas) ir pridedamas į 'Convert To Case' langą._x000d__x000a_* (DEV) JavaScript skriptas pridedamas prie 'Convert to Case' dialogo formos._x000d__x000a_* Vykdymo eiga:_x000d__x000a_** Patikrinama, ar 'Account' laukas konvertavimo lange turi reikšmę._x000d__x000a_*** Jei tuščias, skriptas neatlieka kontakto paieškos._x000d__x000a_** Jei 'Account' nustatytas:_x000d__x000a_*** Nuskaitomas Email.From lauko adresas._x000d__x000a_*** Užklausa į Contact modulį su filtrais:_x000d__x000a_**** ParentCustomerId = Pasirinktas Account_x000d__x000a_**** EmailAddress1 = Email.From_x000d__x000a_*** Jei randamas 1 rezultatas → užpildomas Contact laukas._x000d__x000a_*** Jei rezultatų nėra arba daugiau nei vienas → Contact laukas lieka tuščias._x000d__x000a_** Kontaktų lookup lauke nustatomas custom filter:_x000d__x000a_*** ParentCustomerId = Pasirinktas Account._x000d__x000a_*** Filtras atsinaujina pasikeitus Account laukui._x000d__x000a_** Po „OK“ paspaudimo:_x000d__x000a_*** Į sukurtą Case įrašomi primarycontactid = pasirinktas kontaktas ir customerid = pasirinktas Account._x000d__x000a__x000d__x000a_*Testavimo scenarijai:*_x000d__x000a__x000d__x000a_| # | Testavimo scenarijus                                                               | Reikšmė/Sąlyga                                                                   | Numatytas rezultatas                                             |_x000d__x000a_| - | --------------------------------------------------------------------------- | ----------------------------------------------------------------------------------- | ----------------------------------------------------------- |_x000d__x000a_| 1 | Account automatiškai nustatytas, randamas vienas kontaktas su tuo el. paštu | Email.From = [john@company.com](mailto:john@company.com), Account = Company A       | Contact laukas automatiškai užpildytas                      |_x000d__x000a_| 2 | Account nustatytas, bet kontaktas nerastas                                  | Email.From = [unknown@company.com](mailto:unknown@company.com), Account = Company A | Contact laukas tuščias                                      |_x000d__x000a_| 3 | Account nustatytas, randami keli kontaktai su tuo pačiu el. paštu           | Email.From = [shared@company.com](mailto:shared@company.com), Account = Company A   | Contact laukas tuščias                                      |_x000d__x000a_| 4 | Account laukas tuščias konvertavimo lange                                   | Email.From = [user@company.com](mailto:user@company.com), Account = null            | Contact paieška neatliekama                                 |_x000d__x000a_| 5 | Rankiniu būdu pasirinktas Account, atidarytas Contact lookup                | Account = Company B, paspaustas Enter Contact lauke                                 | Rodo tik Company B kontaktus                                |_x000d__x000a_| 6 | Patvirtinamas konvertavimas (Confirm)                                            | Account ir Contact nustatyti                                                        | Sukurtame Case užpildyti `customerid` ir `primarycontactid` |_x000d__x000a__x000d__x000a_*Priklausomybės:*_x000d__x000a_* Pirmoji funkcijos dalis – automatinis Account nustatymas pagal el. laiško siuntėjo domeną._x000d__x000a_* (DEV) JavaScript skriptas Convert to Case formoje._x000d__x000a_* Contact ir Account sąryšis per lauką ParentCustomerId._x000d__x000a_* Custom lookup filtro logika (addCustomFilter) Contact laukui._x000d__x000a__x000d__x000a_*Neįtraukta sprendimo apimtyje(Out of Scope):*_x000d__x000a_* Kontaktų automatinis kūrimas ar atnaujinimas._x000d__x000a_* El. pašto domeno logikos keitimas Account parinkimui._x000d__x000a_* Tolimesnių el. laiškų (po pirmos konversijos) kontaktų analizė ar fiksavimas."/>
    <d v="2025-09-18T00:00:00"/>
    <d v="2025-11-07T00:00:00"/>
    <n v="0"/>
    <b v="0"/>
    <n v="15"/>
    <n v="15"/>
    <n v="2.75"/>
    <n v="2.75"/>
    <s v="[List]"/>
    <s v="2025-10-16T16:27:36Z"/>
    <m/>
    <n v="99744"/>
    <x v="0"/>
    <n v="0"/>
    <n v="0"/>
  </r>
  <r>
    <n v="99743"/>
    <n v="512"/>
    <s v="LG-D365 CRM Project"/>
    <n v="2"/>
    <s v="Feature"/>
    <n v="1"/>
    <s v="New"/>
    <b v="0"/>
    <n v="4"/>
    <s v="Normal"/>
    <n v="875"/>
    <s v="VilMat"/>
    <n v="821"/>
    <s v="GabKoj"/>
    <n v="96214"/>
    <s v="FR3-SPRINT_1-015 - Queue/Queue Items &gt; Naujo modulio fiksuoti eilių konvertavimą kūrimas"/>
    <s v="h1. Poreikis:_x000d__x000a__x000d__x000a_Kaip stebėti, kaip laiškai vaikšto per eiles pvz.: kai laiškas pvz atėjo į eilę bendri aptarnavimo klausimai, jie perkėlė į kitą eilę pvz krovinių gabenimas. Kaip pamatyti, kada ir kas perkėlė (įsitraukti į ataskaitas)_x000d__x000a_Per kiek laiko laiškas virto užklausa/ galimybe_x000d__x000a_Kai laiškas į užklausą konvertuojamas iš eilės į kurią atėjo._x000d__x000a_Kai laiškas į užklausą konvertuojamas iš eilės į kurią buvo perkeltas._x000d__x000a__x000d__x000a_h1. Patvirtintas poreikis:_x000d__x000a__x000d__x000a_Klausimai: EM_x000d__x000a_Fiksuoti: eilės įrašo sukūrimą, pasikeitimus, trynimą, konvertvimą į objetus. T.y. analogas retrospektyvai. Laikas, vartotojas, eilės. Kur matysis visa laiško kelionė. Kelionės laikas nuo laiško įkritimo į CRM (pirmą eilę) ir pavertimo į užklausą/galimybę turėtų tapti kintamuoju (KPI), kurį būtų galima prisidėti rodiniuose, ataskaitose._x000d__x000a_Reikia detalesnio paaiškinimo, kaip būtų atvaizduojama, kaip galima matyti duomenis, ar visi vartotojai matys? _x000d__x000a_Galimybė įsitraukti duomenis į PBI ataskaitą. (Per kliek laiko laiškas virto CRM objektu (kokiu), kas atliko veiksmus). _x000d__x000a_Papildomai reikalingas dar vienas kintamasis (KPI) bendram kelionės laikui nuo laiško patekimo į CRM iki užklausos/galimybės uždarymo._x000d__x000a__x000d__x000a_VM: istorinių veiksmų registre fiksuoti ne tik sąryšį su eilės įrašu, bet ir su pačiu el. laišku._x000d__x000a__x000d__x000a_Nuspręsti kiek laiko saugom. Kai ištrinsim nesimatys PBI._x000d__x000a__x000d__x000a_Fiksuoti: _x000d__x000a_eilės įrašo sukūrimą,_x000d__x000a_pasikeitimus, _x000d__x000a_trynimą, _x000d__x000a_konvertvimą į objetus._x000d__x000a__x000d__x000a_Laikas, _x000d__x000a_vartotojas, _x000d__x000a_eilės. _x000d__x000a_Kelionės laikas nuo laiško įkritimo į CRM (pirmą eilę) ir pavertimo į užklausą/galimybę turėtų tapti kintamuoju (KPI), kurį būtų galima prisidėti rodiniuose, ataskaitose._x000d__x000a_Papildomai reikalingas dar vienas kintamasis (KPI) bendram kelionės laikui nuo laiško patekimo į CRM iki užklausos/galimybės uždarymo._x000d__x000a__x000d__x000a_Siūlomas sprendimas:_x000d__x000a_Galima fiksuoti 'Queue Item details' formoje._x000d__x000a_Pasiekiama iš Queue&gt;pažymimas Queue Item&gt; per tris taškelius pasirenkamas 'Queue item details';_x000d__x000a_Arba per 'Queue Items'&gt;'Queue Item Details';_x000d__x000a_Queue Item Details forma -&gt; fiksuojami pernešimo į kitą eilę įrašai._x000d__x000a_Būtų sukurtas atskiras modulis šiems duomenims fiksuoti. O 'Queue Item Details' formoje įdedama lentelė(sub-grid) kurioje matomi sukurti įrašai nuo įvykdyto perkėlimo._x000d__x000a_Vertinimas: 6val._x000d__x000a__x000d__x000a_Laiko fiksavimas nuo eilės įrašo patekimo į eilę iki jo konversijos į Galimybę/Užklausą. Užfiksuojamas laikas su kodo pagalba, kai tik įvyksta konversija._x000d__x000a_Vertinimas: 5.5val._x000d__x000a__x000d__x000a_Papildomai fiksuojamas laikas  nuo laiško patekimo į CRM iki susieto Case/Opportunity įrašo uždarymo._x000d__x000a_Vertinimas: 2val._x000d__x000a__x000d__x000a_GO-ERP komentaras (Versija 3)(redaguoti, kad perskaityti viską):_x000d__x000a_Queue item details - Atsidarius formą būtų matoma papildoma sąrašo tipo lentelė, kurioje būtų galimybė, pagal įrašų kiekį, matyti, kiek kartų buvo keista el.laiško eilė. Atitinkamai kada ir kas ją keitė(perkėlė) - tai atskiri laukai kitame modulyje._x000d__x000a_Atskiras modulis būtų traktuojamas kaip įrašų istorijos lentelė, kur kiekvienam iš eilės įrašų būtų sukuriamas atskiras įrašas nuo apibrėžto pakeitimo - perkėlimo į kitą eilę._x000d__x000a_Atitinkamai, dėl įrašų kiekio apimties, tokiam moduliui, suderinus, būtų pritaikomas įrašų trynimas po 'x' laiko(tarsi senaties termino suėjimas), tam, kad sistema nebūtų apkrauta(vietos prasme) nebereikalingais įrašais._x000d__x000a__x000d__x000a_Queue item details - Atsidarius formą būtų matomi papildomi datos ir laiko laukeliai bei išskaičiuotas laikas(sutartinai - sekundėmis, minutėmis ar valandomis). Kai tik laiškas patektų į eilę, kodo pagalba sistema automatiškai tam įrašui fiksuotų datos ir laiko faktą. Kai tik laiškui būtų įvykdytas 'konvertavimas' sistemos kodas taipogi užfiksuotų datos ir laiko faktą. Po šių dviejų laukų faktinių rodiklių užfiksavimo fone sistema išskaičiuotų praleistą laiką, kurį įdėtų į dedikuotą lauką skaitine reikšme._x000d__x000a_Jeigu eilės įrašas(po konvertavimo) išlieka eilėje - duomenys fiksuojami tiesiogai eilės įraše, o vėliau nesunkiai išsitraukiami laukeliai analizei._x000d__x000a_Jeigu eilės įrašas(po konvertavimo) dingsta iš eilės - duomenys gali būti kuriami ir fiksuojami atskirame, dedikuotame 'custom' modulyje', kurio faktiniai įrašai taipogi gali būti analizuojami ar paimami į PowerBI._x000d__x000a__x000d__x000a_Kai kalbame apie atskirą modulį, tai visuomet turime galimybę apriboti per saugumo rolę, kuri vartotojų grupė gali matyti tą modulį arba netgi sukurti atskirą vartotojų saugumo rolę, kuri gali būti priskiriama tik 'x' asmenims._x000d__x000a_Kai kalbame apie standartinio modulio viduje esančius laukelius, pasirinkimo galimybės yra dvejopos - a) formoje laukai neatvaizduojami ir tik apie tai žinantys asmenys gali juos prisidėti į rodinius bei patraukti į powerbi; b) formoje(kai tai leidžia MS apribojimai) laukeliams pritaikyti laukų saugumo parametrus, kurių pagrindu nepriskirtiems vartotojams rodo tik žvaigždutes '****', o priskirtiems realius, laukeliuose užfiksuotus, duomenis '2025-08-08 22:20'._x000d__x000a__x000d__x000a__x000d__x000a_h1. Atliekamos modifikacijos:_x000d__x000a__x000d__x000a_*&lt;pre&gt;_x000d__x000a_Modifikacijų sprendinio šaltinis: LTG_CRM - #96210 FR3-SPRINT1 System Customizations_x000d__x000a_&lt;/pre&gt;*_x000d__x000a__x000d__x000a_*Tikslas:*_x000d__x000a_Sukurti centralizuotą eilės įrašų retrospektyvos (Queue Item Details) sprendimą, kuris automatiškai fiksuoja visus laiško perėjimus tarp eilių, vartotojų veiksmus (sukūrimą, perkėlimą, konvertavimą, ištrynimą) ir skaičiuoja du KPI rodiklius:_x000d__x000a_# Laiką nuo laiško patekimo į CRM eilę iki jo konvertavimo į „Case“ ar „Opportunity“._x000d__x000a_# Bendrą kelionės laiką nuo laiško patekimo į CRM iki uždaryto „Case“ ar „Opportunity“._x000d__x000a__x000d__x000a_Sprendimas užtikrina pilną laiško „kelionės“ istoriją bei suteikia galimybę Power BI ataskaitoms analizuoti proceso efektyvumą._x000d__x000a__x000d__x000a_*1. Moduliai ir duomenų struktūra*_x000d__x000a_* Sukuriamas naujas custom modulis „Queue Item History“ ,kaip nepriklausoma esybė._x000d__x000a_* Kiekvienas eilės įrašo perkėlimas, konvertavimas ar ištrynimas fiksuojamas naujai sukurtame įraše šiame modulyje._x000d__x000a_* Modulis saugo šiuos atributus: laikas, vartotojas, veiksmo tipas, pradinė ir nauja eilė, susietas laiškas, susietas „Case/Opportunity“._x000d__x000a_* „Queue Item Details“ formoje įdedamas sub-grid rodantis susijusius istorinius įrašus iš „Queue Item History“._x000d__x000a__x000d__x000a_*2. Veiksmų fiksavimas*_x000d__x000a__x000d__x000a_| Įvykis                           | Fiksuojamas veiksmas | Sukuriamas įrašas modulyje | Papildoma logika                                              |_x000d__x000a_| -------------------------------- | -------------------- | -------------------------- | ------------------------------------------------------------- |_x000d__x000a_| Eilės įrašo sukūrimas            | New Queue Item       | ✔️                         | Užfiksuojamas įkėlimo laikas ir pradinė eilė                  |_x000d__x000a_| Perkėlimas į kitą eilę           | Queue Reassigned     | ✔️                         | Fiksuojamas senos ir naujos eilės ID, vartotojas, data/laikas |_x000d__x000a_| Konvertavimas į Case/Opportunity | Converted            | ✔️                         | Užfiksuojamas konversijos laikas ir tikslinis objektas        |_x000d__x000a_| Eilės įrašo ištrynimas           | Deleted              | ✔️                         | Fiksuojama paskutinė būsena, vartotojas, data/laikas          |_x000d__x000a__x000d__x000a_*3. KPI logika (automatiniai skaičiavimai)*_x000d__x000a_* *KPI_1 – Queue-to-Object Duration:*_x000d__x000a_** Skaičiuojamas skirtumas tarp Queue Entry Time ir Converted to Object Time._x000d__x000a_** Matavimo vienetas: minutės (konfigūruojama)._x000d__x000a_** Vertė saugoma laukelyje QueueToConversionDuration._x000d__x000a_* *KPI_2 – CRM-to-Closure Duration:*_x000d__x000a_** Skaičiuojamas skirtumas tarp Email Received in CRM Time ir Linked Object Closed On._x000d__x000a_** Skaičiuojamas tik jei objektas = Case arba Opportunity su statusu = Closed._x000d__x000a_** Vertė saugoma laukelyje TotalJourneyDuration._x000d__x000a_* *KPI rodikliai bus prieinami Dynamics rodiniuose, taip pat Power BI dataset'e per OData/Dataverse jungtį.*_x000d__x000a__x000d__x000a_*4. Apsauga ir prieigos teisės*_x000d__x000a_* „Queue Item History“ matomumas valdomas per security roles:_x000d__x000a_** Sprendinio apimtyje netaikoma: Pasirinktinai - Tik vartotojai su &quot;x&quot; rolėmis mato visus įrašus arba visi vartotojai mato visus įrašus_x000d__x000a_** Jeigu taikomos vartotojų rolės - Ne sistemos administratoriai ar aukščiausias teises turintys vartotojai gali matyti tik savo sukurtus ar su jais susijusius įrašus._x000d__x000a_* Sprendinio apimtyje netaikoma: Alternatyviai, formos laukai gali būti apsaugoti per &quot;Field Security Profile&quot; – nerodyti faktinių datų neautorizuotiems vartotojams (rodyti „****“)._x000d__x000a__x000d__x000a_*5. Įrašų gyvavimo ciklas*_x000d__x000a_* Įrašai automatiškai trinami po nustatyto termino – pvz. po 12 mėn. nuo įrašo sukūrimo._x000d__x000a_* Po trynimo įrašai nebebus prieinami Power BI ataskaitose._x000d__x000a_* Terminas konfigūruojamas sistemos 'Bulk delete job' parametro pagrindu._x000d__x000a__x000d__x000a_*6. Atvaizdavimas formose*_x000d__x000a_* „Queue Item Details“ forma papildoma sub-grid lentele „Queue Item History (Related Records)“._x000d__x000a_* Lentele rodoma:_x000d__x000a_** Data / Laikas_x000d__x000a_** Veiksmas (Created, Reassigned, Converted, Deleted)_x000d__x000a_** Vartotojas_x000d__x000a_** Nuo / Į eilę_x000d__x000a_** Susietas objektas - Case_x000d__x000a_** Susietas objektas - Opportunity_x000d__x000a_** Trukmė (sekundės/minutės/valandos)_x000d__x000a__x000d__x000a_*Modulis ir laukai:*_x000d__x000a__x000d__x000a_| Entity             | Field                     | Description                                             |_x000d__x000a_| ------------------ | ------------------------- | ------------------------------------------------------- |_x000d__x000a_| Queue Item History | Name                      | Automatinis pavadinimas (QueueItem + timestamp)         |_x000d__x000a_| Queue Item History | Action Type               | Veiksmo tipas (Created, Reassigned, Converted, Deleted) |_x000d__x000a_| Queue Item History | Performed By              | Vartotojas, atlikęs veiksmą                             |_x000d__x000a_| Queue Item History | Previously Performed      | Vartotojas, prieš tai atlikęs veiksmą                   |_x000d__x000a_| Queue Item History | Source Queue              | Pradinė eilė                                            |_x000d__x000a_| Queue Item History | Target Queue              | Nauja eilė                                              |_x000d__x000a_| Queue Item History | Related Queue Item        | Susietas Eilės įrašas                                   |_x000d__x000a_| Queue Item History | Related Email             | Susietas laiškas (Email entity)                         |_x000d__x000a_| Queue Item History | Related Case              | Susietas Case                                           |_x000d__x000a_| Queue Item History | Related Opportunity       | Susietas Opportunity                                    |_x000d__x000a_| Queue Item History | Queue Entry Time          | Laiško patekimo į eilę laikas                           |_x000d__x000a_| Queue Item History | Conversion Time           | Konvertavimo į objektą(Case/Opportunity) laikas         |_x000d__x000a_| Queue Item History | Object Closed On          | Susieto objekto uždarymo data                           |_x000d__x000a_| Queue Item History | QueueToConversionDuration | KPI_1 rezultatas                                        |_x000d__x000a_| Queue Item History | TotalJourneyDuration      | KPI_2 rezultatas                                        |_x000d__x000a__x000d__x000a_*Testavimo scenarijai:*_x000d__x000a__x000d__x000a_| # | Test Scenario                    | Input / Condition                      | Expected Result                                                                                |_x000d__x000a_| - | -------------------------------- | -------------------------------------- | ---------------------------------------------------------------------------------------------- |_x000d__x000a_| 1 | Naujas laiškas įkrenta į eilę    | Sukuriamas naujas Queue Item           | Sukuriamas Queue Item History įrašas su veiksmo tipu &quot;Created&quot;, fiksuojamas laikas            ir surišamas objektas su Queue Item įrašu |_x000d__x000a_| 2 | Laiškas perkeliamas į kitą eilę  | Queue Item reassigned to another queue | Atnaujinamas Queue Item History įrašas, susietas su Queue Item įrašu, su nurodytu senos ir naujos eilės ID, vartotoju ir laiku      |_x000d__x000a_| 3 | Queue Item konvertuojamas į Case | Queue Item -&gt; Case                     | Atnaujinamas Queue Item  History įrašas, susietas su Queue Item įrašu, į veiksmą  „Converted“, užfiksuojamas konversijos laikas, apskaičiuojamas KPI_1 |_x000d__x000a_| 4 | Case uždaromas                   | Case status = Resolved/Cancelled       | Atnaujinamas atitinkamas History įrašas su uždarymo laiku, skaičiuojamas KPI_2                 |_x000d__x000a_| 5 | Opportunity uždaromas            | Opportunnity status = Won/Lost         | Atnaujinamas atitinkamas History įrašas su uždarymo laiku, skaičiuojamas KPI_2                 |_x000d__x000a_| 6 | Duomenų šalinimo logika          | Įrašas senesnis nei 6 mėn.             | Įrašas automatiškai pašalinamas pagal nustatytą senaties logiką 'Bulk delete operation' sisteminėje operacijoje                               |_x000d__x000a__x000d__x000a_*Konfigūravimo rodikliai:*_x000d__x000a__x000d__x000a_| Parametras                  | Aprašymas                                                            | Standartas |_x000d__x000a_| --------------------------- | -------------------------------------------------------------------- | ---------- |_x000d__x000a_| QueueHistoryRetentionMonths | Kiek mėnesių saugomi istorijos įrašai                                | 6          |_x000d__x000a_| KPI_TimeUnit                | Laiko matavimo vienetas KPI skaičiavimui (Seconds / Minutes / Hours) | Minutės    |_x000d__x000a__x000d__x000a_*Laukų vertimai(EN &gt; LT):*_x000d__x000a__x000d__x000a_| Entity                     | Lauko Loginis Pavadinimas       | Pavadinimas (EN)             | Pavadinimas (LT)              | Aprašymas                                  |_x000d__x000a_| ------------------------------- | ----------------------------- | ------------------------ | -------------------------- | ------------------------------------------------------- |_x000d__x000a_| **Queue Item History (custom)** | new_name                      | Name                     | Pavadinimas                | Automatinis įrašo pavadinimas (Queue Item + timestamp)  |_x000d__x000a_|                                 | new_actiontype                | Action Type              | Veiksmo tipas              | Veiksmo tipas (Created, Reassigned, Converted, Deleted) |_x000d__x000a_|                                 | new_performedby               | Performed By             | Veiksmą atlikęs vartotojas | Asmuo, atlikęs veiksmą                                  |_x000d__x000a_|                                 | new_sourcequeue               | Source Queue             | Pradinė eilė               | Eilė, iš kurios įrašas buvo perkeltas                   |_x000d__x000a_|                                 | new_targetqueue               | Target Queue             | Nauja eilė                 | Eilė, į kurią įrašas buvo perkeltas                     |_x000d__x000a_|                                 | new_relatedemail              | Related Email            | Susijęs el. laiškas        | El. laiškas, su kuriuo susietas įrašas                  |_x000d__x000a_|                                 | new_relatedqueueitem          | Related Queue Item       | Susijęs eilės įrašas       | Nuoroda į susijusį Queue Item                           |_x000d__x000a_|                                 | new_relatedcase               | Related Case             | Susijusi užklausa          | Nuoroda į susijusį Case įrašą                           |_x000d__x000a_|                                 | new_relatedopportunity        | Related Opportunity      | Susijusi galimybė          | Nuoroda į susijusį Opportunity įrašą                    |_x000d__x000a_|                                 | new_queueentrytime            | Queue Entry Time         | Įkėlimo į eilę laikas      | Kada įrašas pateko į eilę                               |_x000d__x000a_|                                 | new_conversiontime            | Conversion Time          | Konvertavimo laikas        | Kada įrašas paverstas į objektą                         |_x000d__x000a_|                                 | new_objectclosedon            | Object Closed On         | Objekto uždarymo data      | Kada susietas objektas buvo uždarytas                   |_x000d__x000a_|                                 | new_queuetoconversionduration | Queue-to-Object Duration | Laikas iki konvertavimo    | Trukmė nuo eilės iki konvertavimo                       |_x000d__x000a_|                                 | new_totaljourneyduration      | Total Journey Duration   | Bendras kelionės laikas    | Trukmė nuo laiško patekimo į CRM iki uždarymo           |_x000d__x000a_|                                 | new_retentionexpirydate       | Retention Expiry Date    | Saugojimo termino pabaiga  | Kada įrašas bus automatiškai pašalintas                 |_x000d__x000a_| Entity                     | Lauko Loginis Pavadinimas       | Pavadinimas (EN)             | Pavadinimas (LT)              | Aprašymas                                  |_x000d__x000a_| ------------------------- | --------------------------- | ------------------------- | ------------------------------ | -------------------------------------------------------------- |_x000d__x000a_| **Queue Item (standard)** | new_kpi_queueconversiontime | Queue Conversion Duration | Laikas eilėje iki konvertavimo | KPI_1 – skirtumas tarp įėjimo į eilę ir konvertavimo į objektą |_x000d__x000a_|                           | new_kpi_totaljourneytime    | Total Journey Duration    | Bendras kelionės laikas        | KPI_2 – skirtumas nuo laiško patekimo iki uždarymo             |_x000d__x000a_|                           | new_relatedqueueitem        | Related Queue Item        | Susijęs eilės įrašas           | Nuoroda į Queue Item History įrašą                             |_x000d__x000a_| Entity                     | Lauko Loginis Pavadinimas       | Pavadinimas (EN)             | Pavadinimas (LT)              | Aprašymas                                  |_x000d__x000a_| ------------------- | ------------------------ | ---------------------- | ----------------------- | -------------------------------------------- |_x000d__x000a_| **Case (standard)** | new_relatedqueueitem     | Related Queue Item     | Susijęs eilės įrašas    | Nuoroda į Queue Item                         |_x000d__x000a_|                     | new_relatedopportunity   | Related Opportunity    | Susijusi galimybė       | Nuoroda į susietą Opportunity (jei taikoma)  |_x000d__x000a_|                     | new_kpi_totaljourneytime | Total Journey Duration | Bendras kelionės laikas | KPI nuo laiško gavimo iki užklausos uždarymo |_x000d__x000a_| Entity                     | Lauko Loginis Pavadinimas       | Pavadinimas (EN)             | Pavadinimas (LT)              | Aprašymas                                  |_x000d__x000a_| -------------------------- | ------------------------ | ---------------------- | ----------------------- | -------------------------------------------- |_x000d__x000a_| **Opportunity (standard)** | new_relatedqueueitem     | Related Queue Item     | Susijęs eilės įrašas    | Nuoroda į Queue Item                         |_x000d__x000a_|                            | new_relatedcase          | Related Case           | Susijusi užklausa       | Nuoroda į susietą Case                       |_x000d__x000a_|                            | new_kpi_totaljourneytime | Total Journey Duration | Bendras kelionės laikas | KPI nuo laiško gavimo iki galimybės uždarymo |_x000d__x000a__x000d__x000a__x000d__x000a_*Priklausomybės:*_x000d__x000a_* Queue ir Queue Item standartiniai moduliai._x000d__x000a_* Email, Case, Opportunity – sistemos moduliai, naudojami sąryšiui._x000d__x000a_* Power BI dataset integracija per Dataverse jungtį._x000d__x000a_* Plugin arba Power Automate flow veiksmai įrašų fiksavimui._x000d__x000a__x000d__x000a_*Prielaidos:*_x000d__x000a_* Laiškai visada paverčiami į Case arba Opportunity įrašą._x000d__x000a_* Konversijos įvykis vyksta per Dynamics 365 UI ar automatinį procesą._x000d__x000a_* Sistemoje įdiegtas server-side synchronization, užtikrinantis laiškų patekimo datų fiksavimą._x000d__x000a__x000d__x000a_*Neįtraukiama(Out of Scope):*_x000d__x000a_* Laiškų turinio fiksavimas ar atvaizdavimas._x000d__x000a_* Automatinis KPI vizualizavimas (atliekama Power BI pusėje)._x000d__x000a_* Istorinės (iki diegimo) eilės veiklos rekonstrukcija."/>
    <d v="2025-09-18T00:00:00"/>
    <d v="2025-11-07T00:00:00"/>
    <n v="30"/>
    <b v="0"/>
    <n v="13.5"/>
    <n v="13.5"/>
    <n v="6.5"/>
    <n v="6.5"/>
    <s v="[List]"/>
    <s v="2025-10-16T16:21:33Z"/>
    <m/>
    <n v="99743"/>
    <x v="0"/>
    <n v="4.05"/>
    <n v="0.6230769230769231"/>
  </r>
  <r>
    <n v="99742"/>
    <n v="512"/>
    <s v="LG-D365 CRM Project"/>
    <n v="2"/>
    <s v="Feature"/>
    <n v="18"/>
    <s v="Release"/>
    <b v="0"/>
    <n v="4"/>
    <s v="Normal"/>
    <n v="875"/>
    <s v="VilMat"/>
    <n v="875"/>
    <s v="VilMat"/>
    <n v="96214"/>
    <s v="FR3-SPRINT_1-014 - Queue/Queue Items &gt; Convert To Case - Konvertavimo lango laukų atvaizdavimo ir eilių įrašų paleidimo iš eilės modifikacijos"/>
    <s v="h1. Poreikis:_x000d__x000a__x000d__x000a_Eilės konvertavimo formoje atsirastų naujas pasirinkimas su numatytaja reikšme Taip, kuris laišką pasišalintų iš eilės. Dabar lieka ir reikia rankiniu būdu pašalinti._x000d__x000a__x000d__x000a_Siūlomas dizainas:_x000d__x000a_Automatizuotas sprendimas - Konversijos metu paleidžiama 'Remove' queue item funkcija, kurios pagalba eilės įrašas pašalinamas iš pastarosios eilės. Vartotojui nereikia žymėti jokių žymų, procesas vyksta numatyta tvarka be galimybės palikti įrašą eilėje._x000d__x000a_Kodo panaudojimas._x000d__x000a_Vertinimas: 4.5val._x000d__x000a__x000d__x000a_Papildomai:_x000d__x000a_Iš Convert to Case pop-up formos paslepiami/išimami laukeliai 'Create new Case' bei 'Change email to completed';_x000d__x000a_Numatyta tvarka laukų vertės nustatomos į 'Yes';_x000d__x000a_Vertinimas: 1val._x000d__x000a__x000d__x000a_h1. Patvirtintas poreikis:_x000d__x000a__x000d__x000a_Konvertavimo lange lieka šie laukai:_x000d__x000a_Klientas_x000d__x000a_Kontaktas_x000d__x000a_Tema_x000d__x000a_Potemė_x000d__x000a__x000d__x000a_Sukurti naują užklausą: Taip/Ne VM: Paslėpti laukus iš convert to case lango_x000d__x000a_Pakeiskite el.pašto būseną į Baigta ir uždarykite formą  VM: Paslėpti laukus iš convert to case lango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Queue Items_x000d__x000a_* Email Messages _x000d__x000a_* Convert To Case pop-up_x000d__x000a__x000d__x000a_*El.laiškai (Email Messages):*_x000d__x000a_* 'Convert To Case' langas po mygtuko paspaudimo:_x000d__x000a_** Išimamas/paslepiamas laukas 'Open the new case'_x000d__x000a_*** Lauko standartinė reikšmė nustatoma į 'Yes'_x000d__x000a_** Išimamas/paslepiamas laukas 'Change the Email status to Completed and close the form'_x000d__x000a_*** Lauko standartinė reikšmė nustatoma į 'Yes'_x000d__x000a_* Paspaudus mygtuką 'Confirm' sistema kreipiasi į 'Queue Items' modulį ir ten susietam 'Queue Item' įrašui atlieka 'Remove' funkciją_x000d__x000a_** Modifikacijos rezultatas: 'Convert to case' lange paspaudus 'Confirm' sistema pašalina susietą 'Queue Item' iš 'Queue', sukuria naują 'Case' įrašą, o laiškas padaromas/išlaikomas kaip 'Completed'_x000d__x000a__x000d__x000a_*Išimtys:*_x000d__x000a_* Jeigu 'Convert To case' lange paspaudus mygtuką 'Confirm' gaunama sisteminė klaida - nepašalinti 'Queue Item' iš 'Queue'_x000d__x000a_* Jeigu po 'Confirm' mygtuko paspaudimo 'Convert To Case' lange nesukuriamas 'Case' įrašas - nepašalinti 'Queue Item' iš 'Queue' "/>
    <d v="2025-09-18T00:00:00"/>
    <d v="2025-11-07T00:00:00"/>
    <n v="40"/>
    <b v="0"/>
    <n v="5.5"/>
    <n v="5.5"/>
    <n v="7"/>
    <n v="7"/>
    <s v="[List]"/>
    <s v="2025-10-16T16:19:00Z"/>
    <m/>
    <n v="99742"/>
    <x v="0"/>
    <n v="2.2"/>
    <n v="0.3142857142857143"/>
  </r>
  <r>
    <n v="99741"/>
    <n v="512"/>
    <s v="LG-D365 CRM Project"/>
    <n v="2"/>
    <s v="Feature"/>
    <n v="9"/>
    <s v="Ready for testing"/>
    <b v="0"/>
    <n v="4"/>
    <s v="Normal"/>
    <n v="875"/>
    <s v="VilMat"/>
    <n v="875"/>
    <s v="VilMat"/>
    <n v="96215"/>
    <s v="FR3-SPRINT_1-013 - Email Messages &gt; Laiško peržiūros statuso laukelio kūrimas, Flow kūrimas, Timeline Email card modifikavimas,  Pranešimų siuntimas eilėje nurodytai komandai."/>
    <s v="h1. Poreikis:_x000d__x000a__x000d__x000a_Kai įkrenta naujas laiškas į eilę:_x000d__x000a_* Turi būti požymis, kad naujas laiškas (pasikeitusi spalva, bold, statusas)_x000d__x000a_* Atsirasti nortification, kad atėjo laiškas. _x000d__x000a_* Koks požymis galėtų būti vartotojui, kad tai naujas/neskaitytas laiškas_x000d__x000a__x000d__x000a_h1. Patvirtintas poreikis:_x000d__x000a__x000d__x000a_* Kai eilėje atsiranda naujas laiškas, statusas rodinio eilutėje pasidaro &quot;Naujas&quot;. Uždedama foninė spalva 'Mėlyna'._x000d__x000a_* Atsidarius laišką statusas rodinyje pasikeičia į 'Perskaitytas'. Foninė spalva pakeičiama į 'Žalia'._x000d__x000a_* Pačiame laiške užkeisti &quot;Terminą&quot; su &quot;Statusu&quot;(naujas laukas)(Svarbiausios informacijos sektorius)._x000d__x000a_* Pačiame laiške paslėpti lauką 'Savininkas'._x000d__x000a__x000d__x000a_*Pranešimų siuntimo eilėje priskirtos komandos nariams sprendimas:*_x000d__x000a_*Laiškų pranešimai pateikiami CRM - Sisteminio pranešimo pagrindu*_x000d__x000a_* Eilės įraše sukuriamas naujas laukas skirtas nurodyti pranešimų gavimo komandą._x000d__x000a_* Komandos priskiriamos eilėms._x000d__x000a_* Sukuriamas foninis flow procesas, kuris pasileidžia, kai prie eilės priskiriamas naujas eilės įrašas(el.laiškas)._x000d__x000a_* Flow procesas sugeneruoja pranešimą komandos nariams į sistemos pranešimų panelę. MS Teams nereikia siųsti pranešimų._x000d__x000a_*Apie pranešimų tekstų atvaizduojamą informaciją informuoti užsakovą priėjus prie užduoties vykdymo.*_x000d__x000a__x000d__x000a_* Jeigu įmanoma padaryti naują laiško įrašo būklės laukelį matomą Timeline kortelėje (Timeline kortelės korekcijos)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Queue Items_x000d__x000a_* Queues_x000d__x000a_* Email Messages_x000d__x000a_* Case_x000d__x000a_* Opportunity_x000d__x000a_* Account_x000d__x000a_* Contact_x000d__x000a__x000d__x000a_*El.laiškai (Email Messages):*_x000d__x000a_* Sukuriamas naujas choice tipo laukelis 'Email Read Status' ('Perskaitymo statusas')_x000d__x000a_* Sukuriamas naujas globalusis pasirinkimų komponentas skirtas naudoti modulių įrašų kūrime._x000d__x000a_** Komponento pasirinkimai:_x000d__x000a_** Unread (LT: Neskaitytas) (Spalva: Mėlyna)_x000d__x000a_** Read (LT: Perskaitytas) (Spalva: Žalia)_x000d__x000a_* Standartinė laukelio reikšmė nustatoma į 'Unread'_x000d__x000a__x000d__x000a_* El.laiškų pagrindinėje formoje (main form) įterpiamas 'Email Read Status' laukelis komponento 'OptionSet Wrapper' pagrindu (atvaizduoti pasirinkimą su spalvine gama)_x000d__x000a_* El. laiškų pagrindinėje formoje (main form) paslepiamas laukas 'Owner'(LT: Sąvininkas)_x000d__x000a_* Peržiūrimi atvaizduojami sisteminiai el.laiškų modulio rodiniai ('views') ir jeigu yra, iš jų pašalinamas stulpelis 'Owner'._x000d__x000a_* Sukuriama nauja verslo taisyklė:_x000d__x000a_** 'Email Read Status' laukelis atvaizduojamas tik tuo atveju, kai Email Message įrašo laukas 'Direction' lygus vertei 'Incoming'. Jeigu 'Outgoing' -&gt; Laukelis slepiamas._x000d__x000a_** Jeigu 'Direction' lygu 'Incoming' &gt; Atvaizduoti lauką 'Email Read Status'_x000d__x000a_** Kitu atveju &gt; Slėpti_x000d__x000a_* Sukuriama nauja verslo taisyklė:_x000d__x000a_** Jeigu 'Direction' lygu 'Outgoing' &gt; Nustatyti &quot;Email Read Status' vertę į 'Read'_x000d__x000a_** Kitu atveju &gt; nedaroma nieko_x000d__x000a__x000d__x000a_* Sukuriama JS OnLoad funkcija:_x000d__x000a_** Funkcija veikia kai vartotojas atidaro el.laiškų modulio įrašą_x000d__x000a_** Funkcija veikia tik su tais 'Email message' įrašais, kurių 'Direction' lygus 'Incoming'_x000d__x000a_** Atvėrus 'email message' įrašą sistema patikrina ar 'Direction' lygu 'Incoming' ir jeigu taip, pakeičia laukelio 'Email Read Status' vertę iš 'Unread' į 'Read'_x000d__x000a_** Rezultatas: Atidarius email įrašą laukelio 'Email Read Status' vertė lygi 'Read'_x000d__x000a__x000d__x000a_* Sukuriamas naujas mygtukas 'Change to Unread'(LT: 'Padaryti neperskaitytu')_x000d__x000a_** Mygtukas patalpinamas tarp 'Forward' ir 'Save' mygtukų_x000d__x000a_** Mygtuko funkcionalumas veikia kodo pagrindu:_x000d__x000a_*** Paspaudus mygtuką pirmiausia iškviečiamas naujas pop-up langas su užrašu &quot;Are you sure?&quot;(LT: Esate įsitikinę savo veiksmu?) ir apačioje esančiais dviem mygtukais &quot;Confirm/Cancel&quot;(LT: Patvirtinti/Atšaukti)_x000d__x000a_*** Paspaudus mygtuką &quot;Cancel&quot; atšaukiamas pop-up langas ir nieko nedaroma_x000d__x000a_*** Paspaudus mygtuką &quot;Confirm&quot; inicijuojamas JS kodas, kuris el.laiško laukeliui 'Email Read Status' pakeičia vertę iš Read (LT: Perskaitytas) į Unread (LT: Neskaitytas) (Spalva: Mėlyna)_x000d__x000a_*** Teigiamas rezultatas: El.laiškų modulio įrašo lauko 'Email Read Status' tampa 'Unread'_x000d__x000a__x000d__x000a_*Eilės (Queues):*_x000d__x000a_* Sukuriamas naujas lookup tipo laukelis &quot;Notfications Team&quot; (LT: Pranešimų komanda) žvelgiantis į 'Komandų(Teams)' modulį._x000d__x000a_* Laukelis pridedamas į 'Queue' modulio pagrindinę formą (Main form)_x000d__x000a__x000d__x000a_*Eilių įrašai (Queue Items):*_x000d__x000a_* Queue Items moduliui suaktyvinamas ir sukonfigūruojamas 'Power Apps grid control' funkcionalumas_x000d__x000a_* Rodiniai -&gt; Rodinys &quot;All Items&quot; -&gt; Pridedamas papildomas stulpelis 'Email Read Status' ('Perskaitymo statusas') iš 'Email messages' modulio_x000d__x000a__x000d__x000a_* Sukuriamas naujas flow procesas 'Queue Items - System Notification to Team about incoming email message'_x000d__x000a_* Flow veikimo pagrindas:_x000d__x000a_** Į CRM sistemą sinchronizuojamas naujas el.laiškas ir priskiriamas vienai iš egzistuojančių public 'Queue'_x000d__x000a_*** Ar 'Queue' yra 'public' nustatoma pagal lauką 'Type', kurio reikšmės lygios 'Public'/'Private'_x000d__x000a_** Pasileidžia flow procesas ir tikrina ar laiško 'Queue' yra 'Public' pagal 'Type' lauką_x000d__x000a_** Jeigu 'Queue' modulio lauko 'Type' reikšmė lygi 'Private' &gt; nedaro nieko ir užbaigia procesą su rezultatu 'Queue is private'._x000d__x000a_** Jeigu 'Queue' modulio lauko 'Type' reikšmė lygi 'Public':_x000d__x000a_*** Tikrina priskirtoje 'Queue', kokia nurodyta komanda laukelyje &quot;Notfications Team&quot;_x000d__x000a_*** Jeigu lauke nenurodyta komanda &gt; Nedaro nieko ir užbaigia flow procesą su rezultatu 'No Team specified'_x000d__x000a_*** Jeigu lauke nurodyta komanda &gt; Paima toje komandoje nurodytus komandos narius ir jiems išsiunčia 'System Notification' pranešimą_x000d__x000a_* *System Notification pranešimo turinys:*_x000d__x000a_** Pranešimo tema: 'Eilėje gautas naujas laiškas'_x000d__x000a_** Pranešimo papildomi komentarai: _x000d__x000a_*** Gautas: XXX (nurodoma 'Created On' data iš el.laiško įrašo)_x000d__x000a_*** Siuntėjas: XXX (nurodomas 'From' iš el.laiško įrašo)_x000d__x000a_** Aktyvus mygtukas nukreipia į priskirtą 'Email' įrašą_x000d__x000a__x000d__x000a_*Užklausos (Cases):*_x000d__x000a_* Pamodifikuojama 'Email message' kortelė atvaizduojama Timeline kanale:_x000d__x000a_** Iš kortelės išimamas 'Status' laukelis_x000d__x000a_** Į kortelę pridedamas 'Email Read Status' laukelis_x000d__x000a__x000d__x000a_*Galimybės (Opportunties):*_x000d__x000a_* Pamodifikuojama 'Email message' kortelė atvaizduojama Timeline kanale:_x000d__x000a_** Iš kortelės išimamas 'Status' laukelis_x000d__x000a_** Į kortelę pridedamas 'Email Read Status' laukelis_x000d__x000a__x000d__x000a_*Klientai (Account):*_x000d__x000a_* Pamodifikuojama 'Email message' kortelė atvaizduojama Timeline kanale:_x000d__x000a_** Iš kortelės išimamas 'Status' laukelis_x000d__x000a_** Į kortelę pridedamas 'Email Read Status' laukelis_x000d__x000a__x000d__x000a_*Kontaktai (Contacts):*_x000d__x000a_* Pamodifikuojama 'Email message' kortelė atvaizduojama Timeline kanale:_x000d__x000a_** Iš kortelės išimamas 'Status' laukelis_x000d__x000a_** Į kortelę pridedamas 'Email Read Status' laukelis_x000d__x000a__x000d__x000a_*Vertimai:*_x000d__x000a_* 'Email Read Status' &gt; 'Perskaitymo statusas'_x000d__x000a_** 'Unread' &gt; 'Neskaitytas' (Spalva: Mėlyna)_x000d__x000a_** 'Read' &gt; 'Perskaitytas' (Spalva: Žalia)_x000d__x000a_* 'Notfications Team' &gt; 'Pranešimų komanda'_x000d__x000a_* Mygtukas 'Change to Unread' &gt; 'Padaryti neperskaitytu'_x000d__x000a_* Pop-up langas su užrašu &quot;Are you sure?&quot; &gt; 'Esate įsitikinę savo veiksmu?'_x000d__x000a_** Pop-up lango pasirinkimai 'Confirm/Cancel' &gt; 'Patvirtinti/Atšaukti'"/>
    <d v="2025-09-18T00:00:00"/>
    <d v="2025-11-07T00:00:00"/>
    <n v="50"/>
    <b v="0"/>
    <n v="13"/>
    <n v="13"/>
    <n v="13.5"/>
    <n v="13.5"/>
    <s v="[List]"/>
    <s v="2025-10-16T16:13:01Z"/>
    <m/>
    <n v="99741"/>
    <x v="0"/>
    <n v="6.5"/>
    <n v="0.4814814814814815"/>
  </r>
  <r>
    <n v="99740"/>
    <n v="512"/>
    <s v="LG-D365 CRM Project"/>
    <n v="2"/>
    <s v="Feature"/>
    <n v="2"/>
    <s v="In Progress"/>
    <b v="0"/>
    <n v="4"/>
    <s v="Normal"/>
    <n v="875"/>
    <s v="VilMat"/>
    <n v="875"/>
    <s v="VilMat"/>
    <n v="96214"/>
    <s v="FR3-SPRINT_1-012 - Queue/Queue Items &gt; Eilių rodinių modifikacijos, laukų vertimai"/>
    <s v="h1. Poreikis:_x000d__x000a__x000d__x000a_Padaryti eilės sisteminį rodinį toks kaip dabar yra sukurtas rankiniu būdu ant dabartinio Visi Elementai._x000d__x000a_Įvesta eilė (Laiško įkritimo laikas) - čia turi fiksuotis, kada įkrito laiškas, nesvarbu ar buvo perkeltas iš kitos eilės._x000d__x000a_Pavadinimas (Laiško subjectas)_x000d__x000a_Apie (Objektas) - ar galima pervadinti, kad aiškiau suprasti, kad jau yra susietas su CRM objektu?_x000d__x000a_Kas dirbo (kas prisiskyrė laišką)_x000d__x000a_Kas pateikė (siuntėjas)_x000d__x000a_Siuntėjo klientas (Klientas, jeigu kontaktas yra priskirtas prie kliento)_x000d__x000a_Komentarai (Objektas) - Matosi laiško turinys_x000d__x000a_Kam (Objektas) - matosi, kam buvo adresuotas laiškas (Tik įtraukti TO eilutėje)_x000d__x000a_Eilė - Eilė, kurioje yra laiškas_x000d__x000a__x000d__x000a_Pridėti stulpelį segmentas_x000d__x000a__x000d__x000a_Ar galima keisti stulpelių pavadinimus?_x000d__x000a_Ką galima padaryti, kad patogiau matytųsi komentaro stulpelis t.y. aiškiau skaitytųsi laiško turinys neužėjus į vidų? - pertikrinti_x000d__x000a_Kaip padaryti, kad jeigu laiškas perkeltas iš kitos eilės, matytųsi kas ir kada perkėlė. _x000d__x000a_Ar įmanoma Žymėti laiškus rankiniu būdu (keičiant spalvą, uždedant šauktuką ar pan.)_x000d__x000a_Žymėti/ išskirti laiškus automatiškai pagal tam tikrą požymį, kaip pvz. TOP segmentų klientų laiškai būtų žymimi raudona spalva ar atsirastų šauktumas ar pan._x000d__x000a__x000d__x000a_h1. Patvirtintas poreikis:_x000d__x000a__x000d__x000a_*Objektas:  Eilės*_x000d__x000a_* Sutvarkyti rodinius (kaip veikia pateikti rodiniai, jeigu neaktualu, juos panaikinti)_x000d__x000a_* Sisteminio rodinio sukūrimas (Pagal dabar Eglės M. sukurtą Visi elementai/Pilnas sąrašas). Reikalinga pervadint nurodytų laukelių vertimus į LT kalbą)._x000d__x000a_** Statusas (*Pritraukti naują lauką*) - Naujas/ perskaitytas._x000d__x000a_** Gauta (dabar Įvesta eilė (Entered Queue) - turi rodyti laiką, kada atsirado eilėje)_x000d__x000a_** Tema (Pavadinimas (Title) - turi rodyti laiško temą (subject'ą)_x000d__x000a_** Susiję (dabar Apie Objektas (Regarding (Object) - turi rodyti su kokiu objektu susijęs laiškas)_x000d__x000a_** Užklausos savininkas (*Pritraukti naują lauką* - rodyti užklausos savininką)_x000d__x000a_** Kas dirba (dabar Kas dirbo (Worked By) - turi rodyti, jeigu prisiskiria sau laišką)_x000d__x000a_** Nuo (dabar Kas pateikė (Objektas) (Submitted By (Object) - rodyti kas atsiuntė laišką el.paštas)_x000d__x000a_** Siuntėjo Klientas (dabar Siuntėjo Klientas (Objektas) Senders Account (Object) - rodyti Klientą pagal siuntėją)_x000d__x000a_** Segmentas (*Pritraukti naują lauką*) - rodyti kliento segmentą, *naujas laukas*._x000d__x000a_** Laiško turinys (dabar Komentarai (Objektas) (Description (Object)- užėjus ant įrašo rodo laiško turinį)_x000d__x000a_** Kam (dabar Kam (Objektas) (To (Object) - užėjus ant įrašo rodo 'TO' eilutės adresatus)_x000d__x000a_** Pirminė Eilė (*Pritraukti naują lauką* - rodytų eilę/eiles į kurią eilę atėjo laiškas)_x000d__x000a__x000d__x000a_* Papildomi stulpeliai, kurie atsiras, dėl laiškų judėjimo stebėjimo (Nauji eilių įrašų detalių laukeliai VILINTAS) -&gt; *Pridedami į rodinio pabaigą*_x000d__x000a__x000d__x000a_* *Eilių įrašų žymėjimas ikonėlėmis - Nedaromas.*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Modulis &quot;Queue Items&quot;_x000d__x000a__x000d__x000a_* Queue Items modulis:_x000d__x000a_** Rodiniai (views):_x000d__x000a_*** Paslepiami visi sisteminiai rodiniai išskyrus &quot;All Items&quot;, kuriam atliekamos korekcijos._x000d__x000a_*** All Cases in Selected Queues_x000d__x000a_*** Cases Available to Work on_x000d__x000a_*** Cases Created This Week_x000d__x000a_*** Cases I am Working On_x000d__x000a_*** Items available to work on_x000d__x000a_*** Items I am working on_x000d__x000a_*** Replies to My Cases_x000d__x000a_!clipboard-202510221754-tmwer.png!_x000d__x000a__x000d__x000a_** Rodiniai (views):_x000d__x000a_** Redaguojamas sisteminis rodinys &quot;All Items&quot;(LT. Visi elementai):_x000d__x000a_*** Email Status (Email modulis) (Pritraukiamas naujai sukurtas laukas)_x000d__x000a_*** Entered Queue_x000d__x000a_*** Title_x000d__x000a_*** Regarding(Object)_x000d__x000a_*** Owner (Case)_x000d__x000a_*** Worked By_x000d__x000a_*** Submitted By (Object)_x000d__x000a_*** Senders Account (Object)_x000d__x000a_*** Segment (Reikia atvaizduoti kliento segmentą)(Pritraukiamas laukas)_x000d__x000a_*** Description (Object)_x000d__x000a_*** To (Object)_x000d__x000a_*** Initial Queue (Queue)(Pritraukiamas naujai sukurtas laukas)_x000d__x000a_*** *Papildomi laukeliai laiškų judėjimo stebėjimui (Naujai sukurti Queue Items detalių laukai)*_x000d__x000a__x000d__x000a_* Vertimai (Queue Items modulis):_x000d__x000a_** Rodinys: All Items &gt; All Queue Items (LT. Visi elementai &gt; Pilnas sąrašas)_x000d__x000a_*** Email Status (Email modulis) (Pritraukiamas naujai sukurtas laukas) - LT. Statusas_x000d__x000a_*** Entered Queue - Įvesta eilė &gt; Gauta_x000d__x000a_*** Title - Pavadinimas &gt; Tema_x000d__x000a_*** Regarding(Object) - Apie Objektas &gt; Susiję_x000d__x000a_*** Owner (Case) - Užklausos savininkas &gt; Užklausos savininkas (Pritraukiamas laukas)_x000d__x000a_*** Worked By - Kas dirbo &gt; Kas dirba?_x000d__x000a_*** Submitted By (Object) - Kas pateikė (Objektas) &gt; Nuo_x000d__x000a_*** Senders Account (Object) - Siuntėjo Klientas (Objektas) &gt; Siuntėjo Klientas_x000d__x000a_*** Segment (???) -&gt; Segmentas (Reikia atvaizduoti kliento segmentą)(Pritraukiamas laukas)_x000d__x000a_*** Description (Object) - Komentarai (Objektas) &gt; Laiško turinys_x000d__x000a_*** To (Object) - Kam (Objektas) &gt; Kam_x000d__x000a_*** Initial Queue (Queue) - Pirminė eilė &gt; Pirminė eilė (Pritraukiamas naujai sukurtas laukas)_x000d__x000a__x000d__x000a_"/>
    <d v="2025-09-18T00:00:00"/>
    <d v="2025-11-07T00:00:00"/>
    <n v="0"/>
    <b v="0"/>
    <n v="10"/>
    <n v="10"/>
    <n v="4.5"/>
    <n v="4.5"/>
    <s v="[List]"/>
    <s v="2025-10-16T16:09:44Z"/>
    <m/>
    <n v="99740"/>
    <x v="0"/>
    <n v="0"/>
    <n v="0"/>
  </r>
  <r>
    <n v="99739"/>
    <n v="512"/>
    <s v="LG-D365 CRM Project"/>
    <n v="2"/>
    <s v="Feature"/>
    <n v="9"/>
    <s v="Ready for testing"/>
    <b v="0"/>
    <n v="4"/>
    <s v="Normal"/>
    <n v="875"/>
    <s v="VilMat"/>
    <n v="875"/>
    <s v="VilMat"/>
    <n v="96214"/>
    <s v="FR3-SPRINT_1-011 - Queue/Queue Items &gt; Atliekant 'Convert To Case' veiksmą patikrinti ar nėra jau sukurta užklausa (Case)"/>
    <s v="h1. Poreikis:_x000d__x000a__x000d__x000a_Šiuo metu, kai vienu metu su eilėmis dirba ne vienas žmogus, jei jis neperkrauna sistemos tuo pat metu gali vieną laišką paversti užklausą ir su ja dirbti du ar keli žmonės. Taip yra dubliuojama, sugeneruojami papildomi tie patys laiškai kitiems skyriams ir tada neužtikrinamas efektyvumas. Galėtų turėti realiu laiku fiksavimą, jog kai nori konvertuoti užklausą išmestų pranešimą, jog su šitu laišku dirba x žmogus, arba bent rodytų, jog keli žmonės peržiūri laišką._x000d__x000a_Jeigu konvertuoja tą patį laišką du žmonės rodytų pranešimą, kad šis laiškas jau turi užklausą. _x000d__x000a__x000d__x000a_h1. Patvirtintas poreikis:_x000d__x000a__x000d__x000a_Sprendimo pasiūlymas:_x000d__x000a_* Galima įtraukti papildomą prevenciją, kad konversijos metu į užklausą/galimybę būtų patikrinama ar šis laiškas jau nėra priskirtas konkrečiai užklausai/galimybei ir jeigu yra - išmestų klaidos pranešimą su mygtuku 'OK' ir atšauktų konversiją._x000d__x000a_Reziumuotas patvirtinimas iš kliento:_x000d__x000a_* Kai vienu metu iš vieno laiško konvertuojama į objektą, sistema užfiksuoja ir sekančiam rodo klaidą užrašu &quot;Klaida. CRM objektas jau sukurtas kito vartotojo&quot;_x000d__x000a__x000d__x000a_h1. Atliekamos modifikacijos:_x000d__x000a__x000d__x000a_*&lt;pre&gt;_x000d__x000a_Modifikacijų sprendinio šaltinis: LTG_CRM - #96210 FR3-SPRINT1 System Customizations_x000d__x000a_&lt;/pre&gt;*_x000d__x000a__x000d__x000a_*Convert To Case custom langas:*_x000d__x000a_* Atliekama kodo korekcija_x000d__x000a_* Po mygtuko 'Confirm' paspaudimo pirmiausia patikrinti sistemoje ar nėra su pasirinktu 'Email' jau susietas 'Case' įrašas_x000d__x000a_* Tikrinama, pagal Email GUID_x000d__x000a_* Sistema ieško Email turi pririštą 'Case' pagal 'Regarding' laukelį_x000d__x000a_* Jeigu neranda:_x000d__x000a_** Vykdo veiksmus esama tvarka - sukuria naują užklausą_x000d__x000a_* Jeigu randa:_x000d__x000a_** Vartotojui iššaukiamas naujas klaidos langas_x000d__x000a_*** Lango viduje atvaizduojamas tekstas EN: Error. Case record already created by another user ; LT: Klaida. CRM objektas jau sukurtas kito vartotojo_x000d__x000a_*** Klaidos lange atvaizduojamas vienas mygtukas 'Confirm'(LT: Patvirtinti)_x000d__x000a_** Po 'Confirm' mygtuko paspaudimo 'Case' įrašo kūrimas atšaukiamas_x000d__x000a_** Priklausomai nuo galimybių, jeigu įmanoma - 'Convert To Case' langas išlaikomas su pasirinkimais. Jeigu neįmanoma - 'Convert To Case' langas uždaromas_x000d__x000a__x000d__x000a_Rezultatas:_x000d__x000a_* Kuomet vartotojas iš laiško įrašo paspaudžia mygtuką 'Convert To Case' ir iššokusiame lange spaudžia mygtuką 'Confirm' sistema pirmiausia patikrina ar nėra tam laiškui jau sukurtas 'Case' įrašas. Jeigu nėra - sukuria naują 'Case' įrašą ir atveria 'case' įrašo langą. Jeigu yra - Išmeta klaidos pranešimą ir atšaukia 'Case' įrašo kūrimą"/>
    <d v="2025-09-18T00:00:00"/>
    <d v="2025-11-07T00:00:00"/>
    <n v="30"/>
    <b v="0"/>
    <n v="5"/>
    <n v="5"/>
    <n v="4.5"/>
    <n v="4.5"/>
    <s v="[List]"/>
    <s v="2025-10-16T15:52:13Z"/>
    <m/>
    <n v="99739"/>
    <x v="0"/>
    <n v="1.5"/>
    <n v="0.3333333333333333"/>
  </r>
  <r>
    <n v="99738"/>
    <n v="512"/>
    <s v="LG-D365 CRM Project"/>
    <n v="2"/>
    <s v="Feature"/>
    <n v="1"/>
    <s v="New"/>
    <b v="0"/>
    <n v="4"/>
    <s v="Normal"/>
    <n v="875"/>
    <s v="VilMat"/>
    <n v="875"/>
    <s v="VilMat"/>
    <n v="99737"/>
    <s v="FR3-SPRINT_1-010 - Global Settings &gt; Globalioje paieškoje filtruoti pagal įmonės kodą"/>
    <s v="h1. Poreikis:_x000d__x000a__x000d__x000a_Kliento ieškoti bendroje paieškoje ir pagal įmonės kodą, dabar ieško tik pagal pavadinimą_x000d__x000a__x000d__x000a_h1. Patvirtintas poreikis:_x000d__x000a__x000d__x000a_Global Search &gt; Pridėti papildomą paieškos rodiklį (įmonės kodas)_x000d__x000a__x000d__x000a_h1. Atliekamos modifikacijos:_x000d__x000a__x000d__x000a_*&lt;pre&gt;_x000d__x000a_Modifikacijų sprendinio šaltinis: LTG_CRM - #96210 FR3-SPRINT1 System Customizations_x000d__x000a_&lt;/pre&gt;*_x000d__x000a__x000d__x000a_*Globalieji nustatymai:*_x000d__x000a_* Į globalios paieškos nustatymus įtraukiamas papildomas filtras galėti ieškoti įrašų, pagal 'Company code'(LT: įmonės kodas) laukelį."/>
    <d v="2025-09-18T00:00:00"/>
    <d v="2025-11-07T00:00:00"/>
    <n v="0"/>
    <b v="0"/>
    <n v="1.5"/>
    <n v="1.5"/>
    <n v="0.5"/>
    <n v="0.5"/>
    <s v="[List]"/>
    <s v="2025-10-16T15:33:44Z"/>
    <m/>
    <n v="99738"/>
    <x v="0"/>
    <n v="0"/>
    <n v="0"/>
  </r>
  <r>
    <n v="99737"/>
    <n v="512"/>
    <s v="LG-D365 CRM Project"/>
    <n v="2"/>
    <s v="Feature"/>
    <n v="2"/>
    <s v="In Progress"/>
    <b v="0"/>
    <n v="4"/>
    <s v="Normal"/>
    <n v="875"/>
    <s v="VilMat"/>
    <n v="875"/>
    <s v="VilMat"/>
    <n v="96210"/>
    <s v="FR3-SPRINT_1-000 - Global Settings (Bendriniai nustatymai)"/>
    <s v="*Sistemos apimtyje atliekami su klientu pasitvirtinti pirmo prioriteto darbai*_x000d__x000a__x000d__x000a_&lt;pre&gt;_x000d__x000a_Darbai atliekami sprendinyje pavadinimu: LTG_CRM - #96210 FR3-SPRINT1 System Customizations_x000d__x000a_&lt;/pre&gt;"/>
    <d v="2025-09-15T00:00:00"/>
    <d v="2025-11-07T00:00:00"/>
    <n v="0"/>
    <b v="0"/>
    <m/>
    <n v="1.5"/>
    <n v="0"/>
    <n v="0.5"/>
    <s v="[List]"/>
    <s v="2025-10-16T15:27:57Z"/>
    <m/>
    <n v="99737"/>
    <x v="0"/>
    <n v="0"/>
    <n v="0"/>
  </r>
  <r>
    <n v="99736"/>
    <n v="512"/>
    <s v="LG-D365 CRM Project"/>
    <n v="2"/>
    <s v="Feature"/>
    <n v="1"/>
    <s v="New"/>
    <b v="0"/>
    <n v="4"/>
    <s v="Normal"/>
    <n v="875"/>
    <s v="VilMat"/>
    <n v="875"/>
    <s v="VilMat"/>
    <n v="96213"/>
    <s v="FR3-SPRINT_1-009 - Case &gt; Užklausos main formos vizualinio atvaizdavimo modifikacijos, naujo rodinio kūrimas"/>
    <s v="h1. Poreikis:_x000d__x000a__x000d__x000a_Ar galima keisti laiko juostos išdėstymą. Aiškiau atskirti kur yra laiškai, kurs kiti veiksmai, kurs sisteminiai pranešimai. Platesnis matymas be praplėtimo._x000d__x000a_Filtravimo galimybės_x000d__x000a_Eglė Papildymas:_x000d__x000a_Yra dvi dalys:_x000d__x000a_1.Individualus Filtro nustatymas laiko juostoje (komunikacija dalyje). Kad vartotas galėtų pats nusistatyti ką nori matyti visų objektų laiko juostose (vartotojo lygemenyje, nenustatant visiems). Rūšiavimas pagal datą., Rodyti laiškus kaip pokalbį, kaip atskirus pranešimus. Filtruoti, kad rodytų pagal pasirinkitą veiklos tipą (pvz,: tik laiškus (Ateinantys, išeinantys, juodrasčiai), be sisteminių pranešimų, tiks isteminius pranešimus, tik skambučius_x000d__x000a_*2. Užklausoje santraukoje perdėlioti atskirų blokų išdėstymą, kas padėtų plačiau matyti komunikacijos dalį (reikės konsultacijos)*_x000d__x000a__x000d__x000a__x000d__x000a_h1. Patvirtintas poreikis:_x000d__x000a__x000d__x000a_*Užklausos atvaizdavimo keitimas/eiliškumas:*_x000d__x000a_* *Skirtukas &quot;Santrauka&quot;(Summary):*_x000d__x000a_** Užklausos detalės - viskas taip pat. Keičiamas vietos užimamumas į 1/3, _x000d__x000a_** Komunikacija - keičiamas vietos užimamumas į 2/3_x000d__x000a_** Atvejo suvestinė - perkeliama virš komunikacijos_x000d__x000a_** Pagalba - perkeliama po komunikacija_x000d__x000a_** Susiję su užklausa -  perkeliama po Užklausos detalės_x000d__x000a_* *Skirtukas - Vidinės užduotys - nekeičiama(vidus liekas tas pats)*_x000d__x000a_* *Skirtukas - Dokumentai - nekeičiamas(vidus lieka tas pats)*_x000d__x000a_* *Skirtukas - Kliento 360:*_x000d__x000a_** Įtraukti, kad rodytų ir užklausas sukurtas tam pačiam klientui (Naujas subgrid, antras nuo viršaus)_x000d__x000a_** Užklausų dalyje rodytų - užklausos numerį, užklausos pavadinimas, būseną,  Kreipinio tema, kreipinio potemė, sukūrimo datą, savininką, Klientą_x000d__x000a_** Eiliškumas būtų: sutartys, užklausos, galimybės_x000d__x000a_** Rodytų visas užklausas_x000d__x000a_** Užklausų Sub-lentelėje galėti filtruoti pagal būseną._x000d__x000a_*** Rodytų pagal sukūrimo datą nuo naujausio iki seniausio._x000d__x000a_** Galimybių dalyje rodytų pagal sukūrimo datą nuo naujausio iki seniausio._x000d__x000a_** Sub-lentelėje Galimybės, užkeičiame lauką Potencialus klientas į Klientas._x000d__x000a_* *SLA skirtukas - pagal pateiktą poreikį SLA poreikyje #99735 *_x000d__x000a__x000d__x000a_* *Susiję įrašai  - vaizdavimas/ slėpimas:*_x000d__x000a_** Tikrinimo retrospektyva - rodomas_x000d__x000a_** Veiklos - rodomas_x000d__x000a_** Atvejo valdymo agento..... -  Paslėpti_x000d__x000a_** Suminiai proceso etapų laikai  - Paslėpti_x000d__x000a_** Paskesni veiksmai - Paslėpti_x000d__x000a__x000d__x000a_*Case &gt; Timeline &gt; email &gt; nerodyti įrašo statuso. (email form korekcija).*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Case modulis_x000d__x000a__x000d__x000a_*Case atvaizdavimo keitimas/eiliškumas:*_x000d__x000a_* *Skirtukas &quot;Santrauka&quot;(Summary):*_x000d__x000a_** Užklausos detalės - išdėstymas nekeičiamas. Keičiamas vietos užimamumas į 1/3; _x000d__x000a_** Komunikacija - keičiamas vietos užimamumas į 2/3_x000d__x000a_** Atvejo suvestinė - perkeliama virš komunikacijos_x000d__x000a_** Pagalba - perkeliama po komunikacija_x000d__x000a_** Susiję su užklausa -  perkeliama po Užklausos detalės_x000d__x000a_* *Skirtukas - Vidinės užduotys - nekeičiama*_x000d__x000a_* *Skirtukas - Dokumentai - nekeičiamas*_x000d__x000a__x000d__x000a_* *Skirtukas - Kliento 360:*_x000d__x000a_** *Išdėstymas:* Agreements, Cases, Opportunities_x000d__x000a_** Sukuriamas naujas case rodinys(view) pavadinimu &quot;All Cases Related to Account&quot;(LT: Visos užklausos susijusios su klientu):_x000d__x000a_*** Rodinys atvaizduoja visas užklausas_x000d__x000a_*** Rodinys atvaizduoja eilutes pagal sukūrimo datą nuo naujausio iki seniausio._x000d__x000a_*** Rodinio(view) stulpelių atvaizdavimas - užklausos numeris, užklausos pavadinimas, būseną, kreipinio tema, kreipinio potemė, sukūrimo datą, savininkas, Klientas_x000d__x000a_** Atliekama modifikacija Account modulio quick view formai 'Agreements/Opportunities/Quotes subgrids'_x000d__x000a_*** Pakeičiamas formos pavadinimas į 'Agreements/Cases/Opportunities subgrids'_x000d__x000a_*** Po Agreements sub-grid'u įterpiamas sub-grid pavadinimu &quot;All Cases Related to Account&quot; atvaizduojantis visas užklausas, kurios sukurtos case įraše nurodytam 'Account' įrašui. Esant būtinybei pritaikomi sub-grid filtrai._x000d__x000a_*** Užklausų sub-lentelėje &quot;All Cases Related to Account&quot; įgalinamas filtravimas pagal būseną(status/status reason)._x000d__x000a_** Galimybių sub-grid pakoreguojamas, kad eilutes rodytų pagal sukūrimo datą nuo naujausio iki seniausio. (Tikėtina labiau apsimoka sukurti dublikatinį rodinį)_x000d__x000a_** Sub-lentelėje Galimybės, užkeičiame lauką Potencialus klientas į Klientas._x000d__x000a_* *SLA skirtukas - pagal pateiktą poreikį SLA poreikyje #99735 *_x000d__x000a__x000d__x000a_* *Susiję įrašai  - vaizdavimas/ slėpimas:*_x000d__x000a_** Audit History(LT: Tikrinimo retrospektyva) - rodomas_x000d__x000a_** Activities(LT: Veiklos) - rodomas_x000d__x000a_** Case Management Agent for case closure Activities/Monitoring (LT: Atvejo valdymo agento...) parinktys -  Paslepiamos_x000d__x000a_** PSD Totals (LT: Suminiai proceso etapų laikai)  - Paslėpti_x000d__x000a_** Next Actions (LT: Paskesni veiksmai) - Paslėpti_x000d__x000a__x000d__x000a_*Case sklaidos kanalo(Timeline) 'Email' kortelės modifikacijos:*_x000d__x000a_** Atliekama modifikacija nerodyti įrašo statuso. 'Closed, Active' (jeigu sistema leidžia)_x000d__x000a_** Pakeičiamas 'Status' lauko atvaizdavimas į 'Status Reason' lauko atvaizdavimą (jeigu sistema leidžia)_x000d__x000a__x000d__x000a_*Atliekami vertimai į LT kalbą:*_x000d__x000a_* Case rodinys(view) pavadinimu &quot;All Cases Related to Account&quot; &gt; LT: Visos užklausos susijusios su klientu_x000d__x000a_* Account modulio quick view formai 'Agreements/Cases/Opportunities subgrids' &gt; LT: Sutarčių/Užklausų/Galimybių sub-lentelės"/>
    <d v="2025-09-18T00:00:00"/>
    <d v="2025-11-07T00:00:00"/>
    <n v="0"/>
    <b v="0"/>
    <n v="10"/>
    <n v="10"/>
    <n v="4.5"/>
    <n v="4.5"/>
    <s v="[List]"/>
    <s v="2025-10-16T15:23:33Z"/>
    <m/>
    <n v="99736"/>
    <x v="0"/>
    <n v="0"/>
    <n v="0"/>
  </r>
  <r>
    <n v="99735"/>
    <n v="512"/>
    <s v="LG-D365 CRM Project"/>
    <n v="2"/>
    <s v="Feature"/>
    <n v="1"/>
    <s v="New"/>
    <b v="0"/>
    <n v="4"/>
    <s v="Normal"/>
    <n v="875"/>
    <s v="VilMat"/>
    <n v="875"/>
    <s v="VilMat"/>
    <n v="96213"/>
    <s v="FR3-SPRINT_1-008 - Case &gt; Stage Duration modulio korekcijos &gt; Paskaičiuotą laiką atvaizduoti minutėmis, sukurti išsprendimo laiko laukelį, rodinio korekcijos"/>
    <s v="h1. Poreikis:_x000d__x000a__x000d__x000a_SLA skirtuke neskaičiuoja užklausos išsprendimo laiko._x000d__x000a_Peržiūrėti SLA skirtuką ir suprsti kokia skaičiavimo logika_x000d__x000a__x000d__x000a_h1. Patvirtintas poreikis:_x000d__x000a__x000d__x000a_Atnaujintas ir iškeltas naujas poreikis:_x000d__x000a_Stage duration laukelių korekcijos atvaizduoti skaitinę vertę minutėmis(vietoje valandų);_x000d__x000a_Naujo laukelio Resolution duration (Resolved) sukūrimas ir vertės įrašymas nuo Process stage duration (Totals) lentelėje fiksuojamų įrašų bendros sumos;_x000d__x000a_Process stage duration modulio atvaizduojamos sub-lentelės Case įraše stulpelių išdėstymo korekcijos bei eiliškumo(sorting) keitimas;_x000d__x000a__x000d__x000a_Detalizacija:_x000d__x000a_*Užklausoje, Skirtukas SLA:*_x000d__x000a_* Skaičiuoti minutėmis (dabar skaičiuoja valandomis)_x000d__x000a_** Resolution duration (Closed)_x000d__x000a_** Resolution duration (Resolved)_x000d__x000a_* *Turi matytis (eiliškumas):*_x000d__x000a_** *SLA veiksmai*_x000d__x000a_*** Sukūrimo data -&gt; data ir laikas_x000d__x000a_*** Numatoma uždarymo data -&gt; data_x000d__x000a_*** Uždaryta -&gt; data ir laikas_x000d__x000a_*** Sprendimo trukmė (uždaryta) -&gt; Skaičiuoti minutėmis (dabar skaičiuoja valandomis). Resolution duration (Closed)_x000d__x000a_*** Sprendimo trukmė išspręsta) -&gt; slėpti laukelį._x000d__x000a_*** Naujas laukelis Sprendimo trukmė išspręsta Resolution duration (Resolved) -&gt; skaičiuoti minutėmis, o rezultatas susumuojamas iš Process stage duration (Totals) sukurtų įrašų konkrečiai užklausai._x000d__x000a_*** Atsakymas patvirtintas -&gt; prašymas paslėpti._x000d__x000a_** *Proceso etapo trukmė (Suminė) - rodo proceso žingsnius, kurie buvo pasirinkti sprendžiant užklausą.*_x000d__x000a_*** Reikalinga, kad rodytų nuo Ilgiausia laiko iki trumpiausia laiko (minutės) (sorting)_x000d__x000a_*** Stulpelių išdėstymas:_x000d__x000a_**** Etapo pavadinimas_x000d__x000a_**** Naujas laukelis - Pakartojimai (kiek kartų buvo naudotas žingsnis (suskaičiuoti process stages duration vienodus įrašus))_x000d__x000a_**** Trukmė minutėmis_x000d__x000a_**** Trukmė valandomis_x000d__x000a_**** Trukmė dienomis_x000d__x000a_** *Proceso etapo trukmė (eiliškumas) - rodo visus proceso žingsnius.*_x000d__x000a_*** Nuo naujausio iki seniausio (pradžia)_x000d__x000a_*** Etapo pavadinimas (dabar tema)_x000d__x000a_*** Pradžia - data ir laikas (taip, kaip dabar)_x000d__x000a_*** Pabaiga - data ir laikas (taip, kaip dabar)_x000d__x000a_*** Trukmė minutėmis_x000d__x000a_*** Trukmė valandomis_x000d__x000a_*** Trukmė dienomis_x000d__x000a_*** Vilintas pasitikrina, kas yra Pakartojimo pradžia/pabaiga ir jeigu neturi įtakos išimti iš rodinio._x000d__x000a_** *SLA KPI atvejai*_x000d__x000a_*** Palikti taip kaip yra. Nukelti sekciją/sub-lentelę į skirtuko apačią._x000d__x000a__x000d__x000a_h1. Atliekamos modifikacijos:_x000d__x000a__x000d__x000a_*&lt;pre&gt;_x000d__x000a_Modifikacijų sprendinio šaltinis: LTG_CRM - #96210 FR3-SPRINT1 System Customizations_x000d__x000a_&lt;/pre&gt;*_x000d__x000a__x000d__x000a_Modifikacijų atlikimo vieta sistemoje:_x000d__x000a_* Modulis &quot;Process stage duration&quot;_x000d__x000a_* Modulis &quot;Process stage duration (Totals)&quot;_x000d__x000a_* Modulis &quot;Case&quot;_x000d__x000a__x000d__x000a_* *Case modulis:*_x000d__x000a_* Pakeičiami laukų skaičiavimui iš valandų į minutes:_x000d__x000a_** Resolution duration (Closed)_x000d__x000a_** Resolution duration (Resolved)_x000d__x000a_* Case main forma:_x000d__x000a_** Skirtuke SLA veiksmai keičiamas išdėstymas ir laukų atvaizdavimas tokiu eiliškumu:_x000d__x000a_*** *Sekcija SLA veiksmai:*_x000d__x000a_**** Sukūrimo data -&gt; data ir laikas -&gt; keičiama pozicija_x000d__x000a_**** Numatoma uždarymo data -&gt; data -&gt; keičiama pozicija_x000d__x000a_**** Uždaryta -&gt; data ir laikas -&gt; keičiama pozicija_x000d__x000a_**** Resolution duration (Closed)(LT Sprendimo trukmė (uždaryta)) -&gt; Keičiama laukelio formulė skaičiuoti minutėmis(dabar skaičiuoja valandomis)._x000d__x000a_**** Sprendimo trukmė (išspręsta) -&gt; Laukas paslepiamas._x000d__x000a_**** Resolution duration (Resolved)(LT &quot;Sprendimo trukmė išspręsta&quot;)_x000d__x000a_**** Atsakymas patvirtintas -&gt; Laukas paslepiamas._x000d__x000a_**** Keičiama pozicija Sub-lentelės &quot;Process Stage Duration (Totals)&quot; atvaizduoti iškarto po sekcijos &quot;SLA veiksmai&quot;_x000d__x000a_**** Keičiama pozicija Sub-lentelės &quot;Process stage duration&quot; atvaizduoti iškarto po sekcijos &quot;Process Stage Duration(Totals)&quot;_x000d__x000a_**** Keičiama pozicija sekcijos &quot;SLA KPI atvejai&quot; atvaizduoti iškarto po sekcijos &quot;Process stage duration&quot;_x000d__x000a_* Sukuriamas naujas whole number laukelis &quot;Resolution duration (Resolved)&quot;(LT &quot;Sprendimo trukmė išspręsta&quot;) skirtas atvaizduoti visų suminių sla proceso etapų praleistą laiko sumą minutėmis_x000d__x000a_** *(DEV)* Laukelyje atvaizduojama vertė lygi minutėms, o rezultatas susumuojamas iš *&quot;Process stage duration (Totals)&quot;* sukurtų įrašų konkrečiai užklausai._x000d__x000a__x000d__x000a_* *&quot;Process Stage Duration (Totals)&quot;(PSD Totals) modulis:*_x000d__x000a_* Keičiamas Case įraše rodomo &quot;Process stage duration (Totals)&quot; sekcijos rodinio *&quot;Case PSD totals&quot;* eiliškumo ir rikiavimo išdėstymas:_x000d__x000a_** Rikiavimas nuo ilgiausio iki trumpiausio pagal 'Praleistų minučių' stulpelį_x000d__x000a_** Stulpelių išdėstymas:_x000d__x000a_*** Etapo pavadinimas_x000d__x000a_*** Pakartojimai (naujas laukelis)_x000d__x000a_*** Trukmė minutėmis_x000d__x000a_*** Trukmė valandomis_x000d__x000a_*** Trukmė dienomis_x000d__x000a_* Sukuriamas naujas whole number laukelis &quot;Stage Repetitions&quot;(LT &quot;Pakartojimai&quot;) skirtas užfiksuoti, kiek kartų buvo panaudotas etapas remiantis 'Process stage duration' įrašų sukūrimo kiekiu._x000d__x000a_** *(DEV)* Sukuriamas workflow arba panaudojamas kodas atnaujinti Process Stage Duration(Totals) sukurtą įrašą užklausai kiekvieną kartą kai sukuriamas naujas 'Process stage duration' įrašas tiesiogiai susijęs su 'Process Stage Duration(totals)' įrašu._x000d__x000a_** Sukuriama užklausa &gt; Aktyvuojasi BPF etapas &gt; Susikuria 'Stage duration' įrašas -&gt; Pereinama į kitą BPF etapą &gt; Susikuria naujas 'Stage duration įrašas' &gt; Sukuriamas Stage Duration(totals) įrašas prieš tai buvusiam 'Stage duration' įrašui &gt; į 'Stage duration(totals)' įraše esantį naują lauką įrašomas skaičius '1'_x000d__x000a_** Jeigu eiga pasikartoja ir susikuria dar vienas to paties BPF etapo 'Stage duration' įrašas -&gt; 'Stage duration(totals)' įrašas atnaujinamas '+1'(1 &gt; 2) kai pakeičiamas dar kartą BPF etapas_x000d__x000a__x000d__x000a_* *&quot;Process Stage Duration&quot; modulis&quot;(Stage Duration):*_x000d__x000a_* Keičiamas Case įraše rodomo &quot;Process stage duration sekcijos rodinio &quot; *&quot;All Stage Duration&quot;* eiliškumo ir rikiavimo išdėstymas:_x000d__x000a_** Rikiavimas nuo naujausio iki seniausio pagal 'Actual Start' stulpelį_x000d__x000a_** Stulpelių išdėstymas:_x000d__x000a_*** Subject (Tema (naujas vertimas LT &gt; Etapo pavadinimas))_x000d__x000a_*** Pradžia (actual start)_x000d__x000a_*** Pabaiga (actual end)_x000d__x000a_*** Trukmė minutėmis (Duration (minutes))_x000d__x000a_*** Trukmė valandomis (Duration (hours))_x000d__x000a_*** Trukmė dienomis (Duration (days))_x000d__x000a_* Keičiamas 'Subject' lauko pavadinimas:_x000d__x000a_** EN: Subject &gt; Stage Name_x000d__x000a_** LT: Tema &gt; Etapo pavadinimas_x000d__x000a__x000d__x000a_*Atliekami vertimai laukeliams:* _x000d__x000a_* Resolution duration (Resolved) &gt; LT: &quot;Sprendimo trukmė išspręsta&quot;_x000d__x000a_* Stage Repetitions &gt; LT: &quot;Pakartojimai_x000d__x000a_* Subject laukas:_x000d__x000a_** EN: Subject &gt; Stage Name_x000d__x000a_** LT: Tema &gt; Etapo pavadinimas"/>
    <d v="2025-09-18T00:00:00"/>
    <d v="2025-11-07T00:00:00"/>
    <n v="20"/>
    <b v="0"/>
    <n v="6"/>
    <n v="6"/>
    <n v="3"/>
    <n v="3"/>
    <s v="[List]"/>
    <s v="2025-10-16T14:37:12Z"/>
    <m/>
    <n v="99735"/>
    <x v="0"/>
    <n v="1.2"/>
    <n v="0.4000000000000001"/>
  </r>
  <r>
    <n v="99716"/>
    <n v="512"/>
    <s v="LG-D365 CRM Project"/>
    <n v="2"/>
    <s v="Feature"/>
    <n v="1"/>
    <s v="New"/>
    <b v="0"/>
    <n v="4"/>
    <s v="Normal"/>
    <n v="875"/>
    <s v="VilMat"/>
    <n v="875"/>
    <s v="VilMat"/>
    <n v="96213"/>
    <s v="FR3-SPRINT_1-007 - Case &gt; Verslo proceso juostos modifikacijos pridedant naujus laukus, Case formos modifikacijos"/>
    <s v="h1. Poreikis:_x000d__x000a__x000d__x000a_Užklausos proceso žingsniuose: _x000d__x000a_Vidinė konsultacija_x000d__x000a_Išorinė konsultacija_x000d__x000a_Atsakingo asmens sprendimas_x000d__x000a_Papildyti laukais, kuriuose žymimas asmuo arba komanda._x000d__x000a__x000d__x000a_h1. Patvirtintas poreikis:_x000d__x000a__x000d__x000a_Užklausos proceso žingsniuose papildyti laukais, kuriuose žymimas asmuo arba komanda._x000d__x000a_Vidinė konsultacija_x000d__x000a_Išorinė konsultacija_x000d__x000a_Atsakingo asmens sprendimas_x000d__x000a__x000d__x000a_*Užklausa &gt; Vidinė konsultacija*_x000d__x000a_Papildyti nauju laukeliu Komanda konsultuoja - galima pasirinkti CRM esančią komandą._x000d__x000a_Laukas neprivalomas._x000d__x000a_Šis naujas laukelis atsiranda prieš Kolega konsultuoja._x000d__x000a_Jeigu užpildomas laukas Komanda konsultuoja arba Kolega konsultuoja, tuomet atsiranda toks pats naujas laukas žemiau - Iki 5 laukelių._x000d__x000a__x000d__x000a_*Užklausa &gt; Išorinė konsultacija*_x000d__x000a_Padaryti galimybę  įvesti daugiau išorės konsultantų žymėjimų._x000d__x000a_Jeigu užpildoma  Išorės konsultantas, Planuojama konsultanto atsakymo data, tai parodomi nauji  laukai - Išorės konsultantas, Išorės komentaras, Planuojama konsultanto atsakymo data. Darome 5 pakartojimus._x000d__x000a_Privalomas pildymas yra tik pirmą kartą suvedant laukelius Išorės konsultantas, Planuojama konsultanto atsakymo data._x000d__x000a_Išmesti pranešimą 'datos' laukeliui tuo atveju, jeigu &quot;numatoma uždarymo data&quot; lauke esanti data yra ankstesnė nei pasirinkta 'datos' lauke;_x000d__x000a__x000d__x000a_*Užklausa &gt; Atsakingo asmens sprendimas*_x000d__x000a_Padaryti galimybę  įvesti daugiau Atsakingo asmens sprendimas žymėjimų._x000d__x000a_Jeigu užpildoma  Atsakingas asmuo, Atsakingo sprendimas, Atsakingo atsakymo data, tai parodomi nauji  laukai  - Atsakingas asmuo, Atsakingo sprendimas, Atsakingo atsakymo data. Darome 5 pakartojimus._x000d__x000a_Privalomas pildyti tik pirmas._x000d__x000a_Išmesti pranešimą 'datos' laukeliui tuo atveju, jeigu &quot;numatoma uždarymo data&quot; lauke esanti data yra ankstesnė nei pasirinkta 'datos' lauke;_x000d__x000a__x000d__x000a_*Užduotis klientui:* _x000d__x000a_Išmesti pranešimą 'datos' laukeliui tuo atveju, jeigu &quot;numatoma uždarymo data&quot; lauke esanti data yra ankstesnė nei pasirinkta 'datos' lauke;_x000d__x000a__x000d__x000a_Sustabdyta:_x000d__x000a_Išmesti pranešimą 'datos' laukeliui tuo atveju, jeigu &quot;numatoma uždarymo data&quot; lauke esanti data yra ankstesnė nei pasirinkta 'datos' lauke;_x000d__x000a__x000d__x000a_Rengiamas atsakymas:_x000d__x000a_Išmesti pranešimą 'datos' laukeliui tuo atveju, jeigu &quot;numatoma uždarymo data&quot; lauke esanti data yra ankstesnė nei pasirinkta 'datos' lauke;_x000d__x000a__x000d__x000a_*Užklausa &gt; SLA*_x000d__x000a_Case:_x000d__x000a_*SLA skirtukas &gt; Nauja sekcija:*_x000d__x000a_Nauja sekcija paskaičiavimams pavadinimu &quot;Skaičiuoklė&quot;_x000d__x000a_Į sekciją perkelti: iš summary skirtuko 'Laiškų išsiųsta/gauta'(2laukai);_x000d__x000a_Sukurti naują lauką atvaizduoti skaičių, kiek vartotojų priskirta 'Kolega konsultuoja' laukeliuose (vidinės konsultacijos BPF stage)_x000d__x000a_Tas Pats galioja ir su 'Komanda konsultuoja'_x000d__x000a_Sukurti naują lauką atvaizduoti skaičių, kiek vartotojų priskirta 'Išorės konsultantas' laukeliuose (išorinė konsultacija BPF stage)_x000d__x000a_Sukurti naują lauką atvaizduoti skaičių, kiek vartotojų priskirta 'Atsakingas asmuo' laukeliuose (Atsakingo asmens sprendimas BPF stage)_x000d__x000a_Papildomas laukas skirtas atvaizduoti, kiek viso sukurta užduočių per užklausą (nesvarbu atviros/uždarytos)_x000d__x000a__x000d__x000a_h1. Atliekamos modifikacijos:_x000d__x000a__x000d__x000a_*&lt;pre&gt;_x000d__x000a_Modifikacijų sprendinio šaltinis: LTG_CRM - #96210 FR3-SPRINT1 System Customizations_x000d__x000a_&lt;/pre&gt;*_x000d__x000a__x000d__x000a_*Sisteminės vietos:*_x000d__x000a_* Užklausų(case) modulyje;_x000d__x000a_* Užklausų verslo proceso juostoje(BPF);_x000d__x000a_* Sistemos vertimuose;_x000d__x000a__x000d__x000a_*Užklausos forma (Case):*_x000d__x000a_Skyrius &quot;SLA&quot;:_x000d__x000a_* Sukuriama nauja sekcija Calculations(LT 'Skaičiuoklė'). _x000d__x000a_* Perkeliami į sekciją laiškų skaičiavimo laukeliai (Summary &gt; Sent Emails, Received Emails)_x000d__x000a_* Perkeliami į sekciją žemiau išvardinti nauji laukeliai:_x000d__x000a_** Sukuriamas naujas whole number tipo laukas *&quot;Internal Consultant Reassignments&quot;(LT &quot;Kolega konsultuoja perskyrimai&quot;)* atvaizduoti skaičių, kiek vartotojų priskirta 'Kolega konsultuoja'(Internal Consultant) laukeliuose (vidinės konsultacijos BPF stage)_x000d__x000a_** Sukuriamas naujas whole number tipo laukas *&quot;Internal Team Reassignments&quot;(LT &quot;Komanda konsultuoja perskyrimai&quot;)* atvaizduoti skaičių, kiek komandų priskirta 'Komanda konsultuoja'(Internal Team Support) laukeliuose (vidinės konsultacijos BPF stage)_x000d__x000a_** Sukuriamas naujas whole number tipo laukas *&quot;External Consultant Reassignments&quot;(LT &quot;Išorės konsultanto perskyrimai&quot;)&quot;* atvaizduoti skaičių, kiek vartotojų priskirta 'Išorės konsultantas'(responsiblecontactid) laukeliuose (išorinė konsultacija BPF stage)_x000d__x000a_** Sukuriamas naujas laukas *&quot;Responsible Person Reassignments(LT &quot;Atsakingo asmens perskyrimai&quot;)&quot;* atvaizduoti skaičių, kiek vartotojų priskirta 'Atsakingas asmuo'(Responsible Person(goerp_responsibleuser)) laukeliuose (Atsakingo asmens sprendimas BPF stage)_x000d__x000a_** Sukuriamas naujas whole number tipo laukas *&quot;Total Tasks Created(LT &quot;Viso sukurta užduočių&quot;)&quot;* skirtas atvaizduoti, kiek viso sukurta užduočių per užklausą (nesvarbu atviros/uždarytos)_x000d__x000a_** *(DEV)* Sukuriamas workflow/plugin skirtas skaičiuoti ir atnaujinti laukelio &quot;Total Tasks Created&quot; vertę kiekvieną kartą kai sukuriama nauja užduotis(Task), kuri surišta su užklausos(Case) įrašu_x000d__x000a__x000d__x000a_*Proceso žingsnis 'Vidinė konsultacija'(Internal Communication):*_x000d__x000a_* 5vnt naujų lookup tipo laukelių *&quot;Internal Team Support&quot;(LT &quot;Komanda konsultuoja&quot;)* leidžiančių pasirinkti komandą (team). Laukai neprivalomi._x000d__x000a_* 4vnt naujų lookup tipo laukelių *&quot;Internal Consultant&quot;(LT &quot;Kolega konsultuoja&quot;)* leidžiančių pasirinkti vartotoją (user). Laukai neprivalomi._x000d__x000a_* Sukuriamos *verslo taisyklės* , kurios valdo, kada atvaizduoti laukelius komanda 2,3,4,5/kolega 2,3,4,5_x000d__x000a_* Jeigu užpildomas pirmas komanda arba kolega laukelis, tuomet sistema atvaizduoja antrą porą kolega/komanda laukelių._x000d__x000a_* Jeigu užpildomas antras komanda arba kolega laukelis, tuomet sistema atvaizduoja trečią porą kolega/komanda laukelių._x000d__x000a_* Toks atvaizdavimo būdas sukuriamas iki atvaizduojama penkta pora laukelių komanda/kolega._x000d__x000a__x000d__x000a_*Proceso žingsnis 'Išorės konsultacija'(Outsource Communication):*_x000d__x000a_* 4vnt. naujų lookup tipo laukelių *&quot;External Consultant Support&quot;(LT &quot;Išorės konsultantas&quot;)* leidžiančių pasirinkti vartotoją(user). Laukeliai neprivalomi._x000d__x000a_* 4vnt. naujų tekstinių(multi-line text) laukelių *&quot;External Consultant Comments&quot;(LT &quot;Išorės komentaras&quot;)* leidžiančių įrašyti komentarą (išorės komentaras). Laukeliai neprivalomi._x000d__x000a_* 4vnt. naujų datos(date only) laukelių *&quot;Estimated External Consultant Response Date&quot;(LT &quot;Planuojama konsultanto atsakymo data&quot;)* leidžiančių pasirinkti norimą datą(numatoma uždarymo data). Laukeliai neprivalomi. Atvaizduojamas pasirinkimas - tik data._x000d__x000a_* Sukuriamos *verslo taisyklės* , kurios valdo, kada atvaizduoti laukelius 'išorės konsultantas2,3,4,5/išorės komentaras2,3,4,5/Planuojama konsultanto atsakymo data2,3,4,5';_x000d__x000a_* Jeigu užpildomi pirmi du laukeliai 'Išorės konsultantas' ir 'Planuojama konsultanto atsakymo data', tai sistemos verslo taisyklė parodo sekantį laukų trio;_x000d__x000a_* Toks atvaizdavimo būdas sukuriamas iki atvaizduojamas penktas laukelių trio('išorės konsultantas/išorės komentaras/Planuojama konsultanto atsakymo data')_x000d__x000a__x000d__x000a_*Proceso žingsnis 'Atsakingo asmens sprendimas'(Responsible User Decision):*_x000d__x000a_* 4vnt. naujų lookup tipo laukelių *&quot;Responsible User (LT &quot;Atsakingas asmuo&quot;)&quot;* leidžiančių pasirinkti vartotoją (user). Laukeliai neprivalomi._x000d__x000a_* 4vnt. naujų tekstinių(multi-line text) laukelių *&quot;Responsible User Decision (LT &quot;Atsakingo sprendimas&quot;)&quot;* leidžiančių įrašyti komentarą(atsakingo sprendimas). Laukeliai neprivalomi._x000d__x000a_* 4vnt. naujų datos(date only) laukelių *&quot;Responsible User Response Date (LT &quot;Atsakingo atsakymo data&quot;)&quot;* leidžiančių pasirinkti norimą datą(atsakingo atsakymo data). Laukeliai neprivalomi. Atvaizduojamas pasirinkimas - tik data._x000d__x000a_* Sukuriamos *verslo taisyklės* , kurios valdo, kada atvaizduoti laukelius 'Atsakingas asmuo2/3/4/5, Atsakingo sprendimas2/3/4/5, Atsakingo atsakymo data2/3/4/5'._x000d__x000a_* Jeigu užpildomi pirmi trys laukai 'Atsakingas asmuo, Atsakingo sprendimas, Atsakingo atsakymo data', tai sistemos verslo taisyklė parodo sekantį laukų trio;_x000d__x000a_* Toks atvaizdavimo būdas sukuriamas iki atvaizduojamas penktas laukelių trio('Atsakingas asmuo, Atsakingo sprendimas, Atsakingo atsakymo data')_x000d__x000a__x000d__x000a_*Kitos verslo taisyklės:*_x000d__x000a_* Rodyti pranešimą, jeigu 'uždarymo data' laukelyje esanti data yra senesnė nei pasirinkta apibrėžtame lauke._x000d__x000a_** Pranešimo tekstas kopijuojamas nuo jau sukurto 'Estimated Consultant Response Date' laukelio verslo taisyklės._x000d__x000a_** Verslo taisyklėmis apibrėžiami laukai:_x000d__x000a_*** 4vnt. Planuojama konsultanto atsakymo data (&quot;Estimated External Consultant Response Date&quot;) (BPF: Outsource Communication)_x000d__x000a_*** 4vnt. Atsakingo atsakymo data (&quot;Responsible User Response Date&quot;) (BPF: Responsible User Decision)_x000d__x000a_*** 1vnt. Customer Response Date (BPF: Task to Customer)_x000d__x000a_*** 1vnt. On Hold Expiry Date (BPF: On Hold)_x000d__x000a_*** 1vnt. Planned Preparation Date (BPF: Preparing Answer)_x000d__x000a__x000d__x000a_*Vertimai:*_x000d__x000a_* Atliekami vertimai į lietuvių kalbą sistemoje naujai sukurtiems laukams."/>
    <d v="2025-09-18T00:00:00"/>
    <d v="2025-11-07T00:00:00"/>
    <n v="20"/>
    <b v="0"/>
    <n v="22.5"/>
    <n v="22.5"/>
    <n v="10.5"/>
    <n v="10.5"/>
    <s v="[List]"/>
    <s v="2025-10-16T13:17:59Z"/>
    <m/>
    <n v="99716"/>
    <x v="0"/>
    <n v="4.5"/>
    <n v="0.4285714285714285"/>
  </r>
  <r>
    <n v="96243"/>
    <n v="512"/>
    <s v="LG-D365 CRM Project"/>
    <n v="2"/>
    <s v="Feature"/>
    <n v="9"/>
    <s v="Ready for testing"/>
    <b v="0"/>
    <n v="4"/>
    <s v="Normal"/>
    <n v="875"/>
    <s v="VilMat"/>
    <n v="875"/>
    <s v="VilMat"/>
    <n v="96214"/>
    <s v="FR3-SPRINT_1-006 - Queue Items/Queues - Force refresh rodinio sąrašą su custom kodu"/>
    <s v="h1. Poreikis:_x000d__x000a__x000d__x000a_Į CRM laiškai sukrenta tik kas kažkiek laiko, jei nori, kad greičiau, tai turi maigyti mygtuką &quot;Atnaujinti&quot;_x000d__x000a_Sutrumpinti sistemos automatinį atnaujinimo laiką, kad nereikėtų rankiniu būdu spaudyti atnaujinti. Per bandymą nespaudėme atnaujinti ir laiškas neįkrito automatiškai į CRM per 6min. (negalėjome ilgai laukti, nes laiškas buvo operatyvus) _x000d__x000a__x000d__x000a_h1. Patvirtintas poreikis:_x000d__x000a__x000d__x000a_Atnaujinti eilių rodinius kas minutę._x000d__x000a__x000d__x000a_h1. Atliekamos modifikacijos:_x000d__x000a__x000d__x000a_*&lt;pre&gt;_x000d__x000a_Modifikacijų sprendinio šaltinis: LTG_CRM - #96210 FR3-SPRINT1 System Customizations_x000d__x000a_&lt;/pre&gt;*_x000d__x000a__x000d__x000a_Galimybės atnaujinti lentelę(sub-grid), kas 'x' laiko intervalais(rekomenduotina nedažniau nei 30sek.) yra, tačiau tai turi savo neigiamą pusę: Jeigu vartotojas praskleis sąrašą žemyn ar pereis į kitą puslapį, po automatinio atnaujinimo sąrašas grįš į pradinę būseną ir vartotojas vėl turės 30s langą peržiūrėti įrašus. Esant didesnėms apimtims tai kritinis trūkumas peržiūrint įrašus. _x000d__x000a__x000d__x000a_* Atnaujinti 'Queue Items' modulio rodinių langą &quot;x&quot; intervalais (force refresh)_x000d__x000a_&gt; * User modulyje sukuriamas naujas laukas, kuriame galima nusirodyti, kokiu intervalu nori vartotojas, kad atsinaujintų rodinys._x000d__x000a_&gt; * Naujame laukelyje, numatyta tvarka, kliento nurodytiems vartotojams, nustatomas standartinis 60s intervalas._x000d__x000a_&gt; * Sukuriamas papildomas workflow, kuris suveikia, kai sukuriamas naujas 'User' ir tam vartotojui nustato standartinį intervalą į 60s. _x000d__x000a_* Atnaujinti 'Queue' modulio formoje esantį 'Queue Items' sub-grid'ą 60sekundžių intervalais_x000d__x000a__x000d__x000a_**Nesant galimybei tiesiogiai atnaujinti per 'Queue Items' modulį bus teikiama rekomendacija sukurti naują specializuotą rodinį 'Queue' modulyje, kuris būtų kaip numatytasis, o jį pasirinkus atvaizduotų tik aktyvias eiles. Papildomai būtų sukurta nauja 'Queue' pagrindinė forma, kuria naudotūsi darbuotojai dirbant su eilėmis. Forma būtų orientuota tiesiogiai į eilės įrašus."/>
    <d v="2025-09-18T00:00:00"/>
    <d v="2025-11-07T00:00:00"/>
    <n v="70"/>
    <b v="0"/>
    <n v="20"/>
    <n v="20"/>
    <n v="18"/>
    <n v="18"/>
    <s v="[List]"/>
    <s v="2025-09-19T14:18:58Z"/>
    <m/>
    <n v="96243"/>
    <x v="0"/>
    <n v="14"/>
    <n v="0.7777777777777778"/>
  </r>
  <r>
    <n v="96242"/>
    <n v="512"/>
    <s v="LG-D365 CRM Project"/>
    <n v="2"/>
    <s v="Feature"/>
    <n v="9"/>
    <s v="Ready for testing"/>
    <b v="0"/>
    <n v="4"/>
    <s v="Normal"/>
    <n v="875"/>
    <s v="VilMat"/>
    <n v="875"/>
    <s v="VilMat"/>
    <n v="96214"/>
    <s v="FR3-SPRINT_1-005 - Queue Items &gt;'Convert To Case' mygtuko pridėjimas"/>
    <s v="h1. Poreikis:_x000d__x000a__x000d__x000a_Iš benrdo sąrašo eilės negali kurti užklausos neužėjus į vidų._x000d__x000a_Reikia papildomo pasirinkimo užklausai sukurti neužeinant į eilės vidų, tik pažymėjus laišką._x000d__x000a__x000d__x000a_Eglė klausimas: ar liktų ir galimybė konvertuoti kai laiškas yra atidarytas?_x000d__x000a_GO-ERP komentaras (Versija 3):_x000d__x000a_&gt; Taip, tai būtų tik papildinys, kuris taptų prieinamas iš bendro modulio rodinio per funkcinę juostą._x000d__x000a__x000d__x000a_h1. Patvirtintas poreikis:_x000d__x000a__x000d__x000a_* Konvertuoti į užklausą galima neatsidarius laiško, tik pažymėjus._x000d__x000a_* Veikia, kai pažymimas vienas laiškas. Pasiekiamas per funkcinę juosta. Vieta (pridėtas pav.) tarp rodyti diagramą ir redaguoti_x000d__x000a_* Konvertavimas iš atidaryto laiško lieka._x000d__x000a_* Konvertavimo langas toks pats kaip atidarius laišką._x000d__x000a_!clipboard-202509191628-jn9rl.png!_x000d__x000a__x000d__x000a_h1. Atliekamos modifikacijos:_x000d__x000a__x000d__x000a_*&lt;pre&gt;_x000d__x000a_Modifikacijų sprendinio šaltinis: LTG_CRM - #96210 FR3-SPRINT1 System Customizations_x000d__x000a_&lt;/pre&gt;*_x000d__x000a__x000d__x000a_* Pridedamas mygtukas į &quot;Queue Items&quot; modulio rodinių langą tarp mygtukų 'Show Chart' ir 'Edit'_x000d__x000a_&gt; Mygtukas matomas tik tada kai pasirenkamas '1' įrašas_x000d__x000a_&gt; Nepasirinkus nė vieno įrašo - nerodomas_x000d__x000a_&gt; Pasirinkus daugiau nei vieną įrašą - mygtukas paslepiamas_x000d__x000a_"/>
    <d v="2025-10-24T00:00:00"/>
    <d v="2025-11-07T00:00:00"/>
    <n v="20"/>
    <b v="0"/>
    <n v="3"/>
    <n v="3"/>
    <n v="5"/>
    <n v="5"/>
    <s v="[List]"/>
    <s v="2025-09-19T13:44:12Z"/>
    <m/>
    <n v="96242"/>
    <x v="0"/>
    <n v="0.6000000000000001"/>
    <n v="0.12"/>
  </r>
  <r>
    <n v="96239"/>
    <n v="512"/>
    <s v="LG-D365 CRM Project"/>
    <n v="2"/>
    <s v="Feature"/>
    <n v="9"/>
    <s v="Ready for testing"/>
    <b v="0"/>
    <n v="4"/>
    <s v="Normal"/>
    <n v="875"/>
    <s v="VilMat"/>
    <n v="875"/>
    <s v="VilMat"/>
    <n v="96237"/>
    <s v="FR3-SPRINT_1-004 - Accounts &gt; Atsakingų asmenų pasirinkimų praplėtimas"/>
    <s v="h1. Poreikis:_x000d__x000a__x000d__x000a_Prie kliento kortelės įtraukti papildomą  atsakingą sritį: Turi būti Pardavimai, Aptarnavimas, Užsakymai, Sutartys, Atsiskaitymai. _x000d__x000a_Pervadinti: Atsakingas asmuo/komanda į Pardavimai_x000d__x000a_Kuriamas naujas pavadinimu Aptarnavimas_x000d__x000a_Užsakymų vadybininkas keičiamas į Užsakymai_x000d__x000a_Papildomų paslaugų sutarčių vadybininkas keičiamas į  Sutartys_x000d__x000a_Atsiskaitymų vadybininkas keičiamas į  Atsiskaitymai_x000d__x000a__x000d__x000a_Rodinyje Mano aktyvieji klientai analogiškai pritaikyti naujų laukų reikšmes kaip paveikslėlyje. Filtras turėtų atvaizduoti bet kuriame iš naujų laukų esančio vartotojo klientus._x000d__x000a__x000d__x000a_h1. Patvirtintas poreikis:_x000d__x000a__x000d__x000a_Prie kliento kortelės įtraukti papildomą  atsakingą sritį: Aptarnavimas_x000d__x000a_Eiliškumas ir pavadinimai:_x000d__x000a_Pardavimai_x000d__x000a_Aptarnavimas _x000d__x000a_Užsakymai_x000d__x000a_Sutartys_x000d__x000a_Atsiskaitymai. _x000d__x000a_Rodinyje Mano aktyvieji klientai analogiškai pritaikyti naujų laukų reikšmes kaip paveikslėlyje. Filtras turėtų atvaizduoti bet kuriame iš naujų laukų esančio vartotojo klientus._x000d__x000a_Rodinyje galimybė įsitraukti numatytus stulpelius_x000d__x000a_!clipboard-202509191601-4dhzx.png!_x000d__x000a_!clipboard-202509191607-9zpe1.png!_x000d__x000a__x000d__x000a_h1. Atliekamos modifikacijos:_x000d__x000a__x000d__x000a_*&lt;pre&gt;_x000d__x000a_Modifikacijų sprendinio šaltinis: LTG_CRM - #96210 FR3-SPRINT1 System Customizations_x000d__x000a_&lt;/pre&gt;*_x000d__x000a__x000d__x000a_* Account modulyje sukuriamas naujas lookup tipo laukelis 'Customer Service'(LT.'Aptarnavimas')_x000d__x000a_&gt;&gt; Laukas žvelgia į vartotojų modulį._x000d__x000a_&gt;&gt; Laukas patalpinamas į Account pagrindinėje formoje esančią greitosios informacijos zoną._x000d__x000a_* 'My Active Accounts'(mano aktyvieji klientai) sisteminiame rodinyje pritaikomi specialieji filtrai:_x000d__x000a_&gt;&gt; Filtruoti pagal esamą vartotoją(pagal tą kuris peržiūri) nurodyta eilės tvarka šiuos laukelius:_x000d__x000a_&gt;&gt; Pardavimai_x000d__x000a_&gt;&gt; Aptarnavimas _x000d__x000a_&gt;&gt; Užsakymai_x000d__x000a_&gt;&gt; Sutartys_x000d__x000a_&gt;&gt; Atsiskaitymai_x000d__x000a_&gt;&gt; Rezultatas: Filtras turėtų atvaizduoti bet kuriame iš naujų laukų esančio vartotojo klientus._x000d__x000a__x000d__x000a_*Apribojimai:*_x000d__x000a_* Pridėjus į viršutinę greitosios informacijos pateikimo juostą - nesimatys, kol nebus praskleista su dešinėje esančia rodykle. Sistemos lubos riboja atvaizduoti iki 4-ių pateikčių. _x000d__x000a_* Eglės Klausimas - kas šioje dalyje matysis, ar pirmi keturi ir norint matyti daugiau reikės praskleisti, ar kitas vaizdas?_x000d__x000a_&gt;&gt; GO-ERP komentaras (Versija 3):_x000d__x000a_&gt;&gt; Formoje, nepraskleidus pasirinkimo, būtų matomi pirmi 4 laukeliai._x000d__x000a_&gt;&gt; Norint pamatyti daugiau, būtų reikalinga praskleisti panaudojant minėtą rodyklę._x000d__x000a__x000d__x000a_"/>
    <d v="2025-09-18T00:00:00"/>
    <d v="2025-11-07T00:00:00"/>
    <n v="50"/>
    <b v="0"/>
    <n v="5"/>
    <n v="5"/>
    <n v="3"/>
    <n v="3"/>
    <s v="[List]"/>
    <s v="2025-09-19T13:19:09Z"/>
    <m/>
    <n v="96239"/>
    <x v="0"/>
    <n v="2.5"/>
    <n v="0.8333333333333334"/>
  </r>
  <r>
    <n v="96237"/>
    <n v="512"/>
    <s v="LG-D365 CRM Project"/>
    <n v="2"/>
    <s v="Feature"/>
    <n v="2"/>
    <s v="In Progress"/>
    <b v="0"/>
    <n v="4"/>
    <s v="Normal"/>
    <n v="875"/>
    <s v="VilMat"/>
    <n v="875"/>
    <s v="VilMat"/>
    <n v="96210"/>
    <s v="FR3-SPRINT_1-000 - Accounts (Klientai)"/>
    <s v="*Modulio apimtyje atliekami su klientu pasitvirtinti pirmo prioriteto darbai*_x000d__x000a__x000d__x000a_&lt;pre&gt;_x000d__x000a_Darbai atliekami sprendinyje pavadinimu: LTG_CRM - #96210 FR3-SPRINT1 System Customizations_x000d__x000a_&lt;/pre&gt;"/>
    <d v="2025-09-18T00:00:00"/>
    <d v="2025-11-07T00:00:00"/>
    <n v="50"/>
    <b v="0"/>
    <m/>
    <n v="5"/>
    <n v="0"/>
    <n v="3"/>
    <s v="[List]"/>
    <s v="2025-09-19T12:57:00Z"/>
    <m/>
    <n v="96237"/>
    <x v="1"/>
    <n v="0"/>
    <n v="0"/>
  </r>
  <r>
    <n v="96235"/>
    <n v="512"/>
    <s v="LG-D365 CRM Project"/>
    <n v="2"/>
    <s v="Feature"/>
    <n v="9"/>
    <s v="Ready for testing"/>
    <b v="0"/>
    <n v="4"/>
    <s v="Normal"/>
    <n v="875"/>
    <s v="VilMat"/>
    <n v="875"/>
    <s v="VilMat"/>
    <n v="96213"/>
    <s v="FR3-SPRINT_1-003 - Case &gt; Timeline &gt; Notes: Padidinti 'Description' simbolių skaičių iki maksimumo"/>
    <s v="h1. Poreikis:_x000d__x000a__x000d__x000a_Laiko juostoje esančioje pastabų dalyje padidinti Aprašymo lauką iki maksimalaus leistinų simbolių kiekio_x000d__x000a__x000d__x000a_h1. Patvirtintas poreikis:_x000d__x000a__x000d__x000a_Nustatytati Laiko juostoje esančioje pasatabų dalyje padidinti Aprašymo lauką padidinti iki maksimalaus leistinų simobilių kiekio_x000d__x000a__x000d__x000a_h1. Atliekamos modifikacijos:_x000d__x000a__x000d__x000a_*&lt;pre&gt;_x000d__x000a_Modifikacijų sprendinio šaltinis: LTG_CRM - #96210 FR3-SPRINT1 System Customizations_x000d__x000a_&lt;/pre&gt;*_x000d__x000a__x000d__x000a_Notes(Pastabų) įrašai:_x000d__x000a_* Subject(Temos) laukelis: Draudžiami padidinti. Nustatytas maksimalus leistinas simbolių kiekis - 500_x000d__x000a_* Description(Aprašymo) laukelis: Nustatomas maksimalus leistinas simbolių kiekis - 1073741823; Šiuo metu nustatytas: 100000_x000d__x000a_"/>
    <d v="2025-09-18T00:00:00"/>
    <d v="2025-11-07T00:00:00"/>
    <n v="30"/>
    <b v="0"/>
    <n v="1"/>
    <n v="1"/>
    <n v="1.5"/>
    <n v="1.5"/>
    <s v="[List]"/>
    <s v="2025-09-19T12:52:12Z"/>
    <m/>
    <n v="96235"/>
    <x v="0"/>
    <n v="0.3"/>
    <n v="0.2"/>
  </r>
  <r>
    <n v="96220"/>
    <n v="512"/>
    <s v="LG-D365 CRM Project"/>
    <n v="2"/>
    <s v="Feature"/>
    <n v="9"/>
    <s v="Ready for testing"/>
    <b v="0"/>
    <n v="4"/>
    <s v="Normal"/>
    <n v="875"/>
    <s v="VilMat"/>
    <n v="875"/>
    <s v="VilMat"/>
    <n v="96215"/>
    <s v="FR3-SPRINT_1-002 - Automatiškai uždedamo el.pašto adreso į juodraštinį el.laišką modifikacija"/>
    <s v="h1. Poreikis:_x000d__x000a__x000d__x000a_Kiekvieną kartą rašant atsakant į laišką reikia rankiniu būdu pakeisti iš asmeninės į bendrinę pašto dėžutę. Padaryti, kad nuskaitytų kokiai komandai priklauso ir taikytų komandos (veikos) el. paštą_x000d__x000a__x000d__x000a_h1. Patvirtintas poreikis:_x000d__x000a__x000d__x000a_Redaguotų automatinis el. pašto parinkimas laiško išsiuntimui nuo vartotojo._x000d__x000a_Darome dviejų pasiūlytų variantų hibridą - pašto dėžutės pavadinimas nurodomas vartotojo kortelėje. Kada spaudžiama reply, vartotojui suveikia OnLoad funkcija ir uždedama nurodyta pašto dėžutė į laiško lauką 'From'._x000d__x000a_Vartotojui netinkant savarankiškai pasikeičia. _x000d__x000a_Galimybė rankiniu būdu pakeisti kitą el. paštą._x000d__x000a__x000d__x000a_h1. Pateikti pavyzdiniai scenarijai iš kliento pusės su GO-ERP komentarais:_x000d__x000a__x000d__x000a_Ar veiktų šis sprendimas tokiais scenarijais:_x000d__x000a_Esama situacija: yra BAK komanda, kuri dirba su BAK eile, turi savo pasta pagalba@ltgcargolt; yra komanda VR, kuri dirba su VR eile, turi savo paštą vagonai@ltgcargo.lt_x000d__x000a_* 1 scenarijus:_x000d__x000a_&gt; Kliento laiškas, adresatai nurodoma pagalba@ltgcargo.lt. Laiškas įkrenta į BAK eilę, BAK komandos narys konvertuoja į užklausą. Iš užklausos rašomas laiškas, užsideda paštas from pagalba@ltgcargo_x000d__x000a_&gt; *GO-ERP komentaras (Versija 3):*_x000d__x000a_&gt; Galimas scenarijus. Funkcija ieškotų, prie kokios eilės priskirtas el.laiškas, kai pats el.laiškas atsakomas iš naujos užklausos._x000d__x000a_* 2 scenarijus:_x000d__x000a_&gt; Kliento laiškas, adresatai nurodoma pagalba@ltgcargo ir vadonai@ltgcargo.lt. Laiškas įkrenta ir į BAK ir į VR eiles. Pagal laiško turinį BAK komandos narys konvertuoja į užklausą. Iš užklausos rašomas laiškas, užsideda paštas from pagalba@ltgcargo. VR eilėje įrašas panaikinamas._x000d__x000a_&gt; *GO-ERP komentaras (Versija 3):*_x000d__x000a_&gt; Labiau galimas scenarijus. Tikėtina, kad būtų reikiamybė fone(vartotojams nematomai) fiksuoti laiško įrašo naujame laukelyje iš kokios eilės buvo konvertuotas laiškas. Pagal tai sistemos funkcija žinotų, kurios eilės pagrindu uždėti el.pašto adresą į From laukelį._x000d__x000a_* 3 scenarijus:_x000d__x000a_&gt; Kliento laiškas, adresatai nurodoma pagalba@ltgcargo.lt. Laiškas įkrenta į BAK eilę, BAK komandos narys indentifikuoja, kad tai ne jų klausimas ir laišką perskiria į VR eilę. VR komandos narys konvertuoja į užklausą. Iš užklausos rašomas laiškas, užsideda paštas from vagonai@ltgcargo_x000d__x000a_&gt; *GO-ERP komentaras (Versija 3):*_x000d__x000a_&gt; Labiau galimas scenarijus. Pasitarnautų funkcinis įgyvendinimas kaip aprašyta 2 scenarijuje - susikuriant dedikuotą lauką su užstatoma paskutine eile, iš kurios buvo konvertuotas laiškas į užklausą.  _x000d__x000a__x000d__x000a_h1. Atliekamos modifikacijos:_x000d__x000a__x000d__x000a_*&lt;pre&gt;_x000d__x000a_Modifikacijų sprendinio šaltinis: LTG_CRM - #96210 FR3-SPRINT1 System Customizations_x000d__x000a_&lt;/pre&gt;*_x000d__x000a__x000d__x000a_* Atliekamas programavimas ir veiksmų seka, kurios pagrindu laiško siuntėjas nustatomas ir įdedamas į formuojamą juodraštinį laišką._x000d__x000a_&gt; Kodo pagalba sukuriama 'OnLoad' operaciją, kuri iškart, atvėrus juodraščio statuso(status eq draft) įrašą, užkeičia 'From' laukelį el. pašto adresu paimtu iš 'Users' modulyje sukurto naujo laukelio 'Email Replies Mailbox'(goerp_emailrepliesmailbox)_x000d__x000a_&gt; Jeigu 'yes/no' laukelis 'Enable All Email Replies from Other Mailbox?' pažymėtas kaip 'No', tuomet ignoruoti el.pašto adreso paėmimą ir nedaryti nieko;_x000d__x000a_&gt; Jeigu vartotojas ištrina Email įraše įdėtą 'From' adresą, kodas nedaro nieko;_x000d__x000a_* Sukuriamas naujas 'Yes/No' tipo laukelis 'Users'(vartotojų) modulyje pavadinimu 'Enable All Email Replies from Other Mailbox?' (LT.&quot;Įgalinti visus el.laiškų atsakymus kitos pašto dėžutės pagrindu?&quot;)_x000d__x000a_&gt; Sukurtas laukelis patalpinamas į 'Users' modulio pagrindinę formą (Main form) kaip trigger/checkbox (jungtukas/varnelė)_x000d__x000a_* Sukuriamas naujas laukelis 'Users'(vartotojų) modulyje pavadinimu 'Email Replies Mailbox (LT.&quot;Laiškų atsakymų el.paštas&quot;) skirtas įrašyti el.pašto adresą(bendrinės pašto dėžutės), kuris būtų panaudojamas atsakinėjant į eilės laiškus._x000d__x000a_&gt; Sukurtas laukelis patalpinamas į 'Users' modulio pagrindinę formą (Main form)_x000d__x000a_* Sukuriamas 'Business Rule'(verslo taisyklė) atvaizduoti 'Email Replies Mailbox' laukelį tik tuomet, kai 'Enable All Email Replies from Other Mailbox?' yra pažymėtas, kaip 'Yes'_x000d__x000a__x000d__x000a_Rezultatas:_x000d__x000a_Kai vartotojas paspaudžia 'reply' laiške ir sistema užkrauna naują el.laiško atsakymo įrašą, kodas su OnLoad operacija uždeda vartotojo kortelėje, naujame laukelyje, nurodytą el.paštą į 'From' lauką. _x000d__x000a_Jeigu vartotojui netinka įdėtas el.pašto adresas - savarankiškai pasikeičia ištrindamas įdėtą ir pasirinkdamas arba įrašydamas naują._x000d__x000a_"/>
    <d v="2025-09-18T00:00:00"/>
    <d v="2025-11-07T00:00:00"/>
    <n v="40"/>
    <b v="0"/>
    <n v="11"/>
    <n v="11"/>
    <n v="11.75"/>
    <n v="11.75"/>
    <s v="[List]"/>
    <s v="2025-09-19T10:31:00Z"/>
    <m/>
    <n v="96220"/>
    <x v="0"/>
    <n v="4.4"/>
    <n v="0.374468085106383"/>
  </r>
  <r>
    <n v="96218"/>
    <n v="512"/>
    <s v="LG-D365 CRM Project"/>
    <n v="2"/>
    <s v="Feature"/>
    <n v="9"/>
    <s v="Ready for testing"/>
    <b v="0"/>
    <n v="4"/>
    <s v="Normal"/>
    <n v="875"/>
    <s v="VilMat"/>
    <n v="875"/>
    <s v="VilMat"/>
    <n v="96216"/>
    <s v="FR3-SPRINT_1-001 - Risk Assessment/Account modulio modifikacijos "/>
    <s v="h1. Poreikis:_x000d__x000a__x000d__x000a_Kliento kortelėje atsiranda laukas, kur galima kopijuoti nuorodą. _x000d__x000a_Įtraukti į tikrinimo retrospektyvą._x000d__x000a_Kad būtų galimybė įtraukti į rodinius stulpelį_x000d__x000a__x000d__x000a_h1. Patvirtintas poreikis:_x000d__x000a__x000d__x000a_Klientų prevencijos informaciją fiksuoti į tikrinimo retrospektyvą. Kliento prevencijos įraše._x000d__x000a_Galimybė Kliento objekte įsitraukti į rodinio stulpelį Dokumentas DVS laukelį_x000d__x000a__x000d__x000a_Padaryti įrašą (risk assesment) kaip neaktyvų, kaip pabaigos data yra senesnė negu šiandien. _x000d__x000a_Įtraukti papildomą laukelį į rodinį Kliento kortelėje &gt; Skirtukas dokumentai &gt; Kliento prevencijos informacija sekcija &gt; Įrašo statusas / būklė _x000d__x000a_Rodyti aktyvius/neaktyvius (kaip Marketingo sekcija)_x000d__x000a__x000d__x000a_h1. Atliekamos modifikacijos:_x000d__x000a__x000d__x000a_*&lt;pre&gt;_x000d__x000a_Modifikacijų sprendinio šaltinis: LTG_CRM - #96210 FR3-SPRINT1 System Customizations_x000d__x000a_&lt;/pre&gt;*_x000d__x000a__x000d__x000a_Risk Assessment:_x000d__x000a_* Aktyvuojamas 'Audit History' moduliui 'Risk Assessment';_x000d__x000a_* Įrašo 'Risk Assessment' deaktyvavimas, kai nustatyta 'pabaigos data' tampa senesnė nei šiandienos data. Atliekamas power automate flow/workflow proceso kūrimas:_x000d__x000a_&gt; Sukuriamas power automate flow/workflow_x000d__x000a_&gt; Flow/Workflow tikrina visus aktyvius 'Risk Assessment' įrašus_x000d__x000a_&gt; Flow/Workflow auto-kartojasi(recurrent) kiekvieną naktį 3:33 laiku_x000d__x000a_&gt; Jeigu įraše nurodyta laukelio 'Valid to' data yra senesnė nei šiandienos data, pakeisti įrašo statusą į:_x000d__x000a_&gt;&gt; Status (statecode) eq 1_x000d__x000a_&gt;&gt; Status Reason (statuscode) eq 2_x000d__x000a_Account:_x000d__x000a_* Įtraukiamas papildomas stulpelis į 'Account' įraše esantį 'Risk Assessment' 'sub-grid':_x000d__x000a_&gt; Įtraukiamas laukelis: Status (Įrašo statusas/būklė);_x000d__x000a_* Atliekamos korekcijas atvaizduojamai 'Risk Assessment' sub-lentelei:_x000d__x000a_&gt; Įgalinama galimybė rinktis, kurį rodinį, iš galimų pasirinkimų, atvaizduoti sub-lentelėje - view multi-choice_x000d__x000a_"/>
    <d v="2025-09-18T00:00:00"/>
    <d v="2025-11-07T00:00:00"/>
    <n v="40"/>
    <b v="0"/>
    <n v="3.5"/>
    <n v="3.5"/>
    <n v="3.25"/>
    <n v="3.25"/>
    <s v="[List]"/>
    <s v="2025-09-19T10:08:40Z"/>
    <m/>
    <n v="96218"/>
    <x v="0"/>
    <n v="1.4"/>
    <n v="0.4307692307692308"/>
  </r>
  <r>
    <n v="96216"/>
    <n v="512"/>
    <s v="LG-D365 CRM Project"/>
    <n v="2"/>
    <s v="Feature"/>
    <n v="2"/>
    <s v="In Progress"/>
    <b v="0"/>
    <n v="4"/>
    <s v="Normal"/>
    <n v="875"/>
    <s v="VilMat"/>
    <n v="875"/>
    <s v="VilMat"/>
    <n v="96210"/>
    <s v="FR3-SPRINT_1-000 - Risk Assesments (Klientų prevencijos)"/>
    <s v="*Modulio apimtyje atliekami su klientu pasitvirtinti pirmo prioriteto darbai*_x000d__x000a_&lt;pre&gt;_x000d__x000a_Darbai atliekami sprendinyje pavadinimu: LTG_CRM - #96210 FR3-SPRINT1 System Customizations_x000d__x000a_&lt;/pre&gt;"/>
    <d v="2025-09-15T00:00:00"/>
    <d v="2025-11-07T00:00:00"/>
    <n v="40"/>
    <b v="0"/>
    <m/>
    <n v="3.5"/>
    <n v="0"/>
    <n v="3.25"/>
    <s v="[List]"/>
    <s v="2025-09-19T09:48:38Z"/>
    <m/>
    <n v="96216"/>
    <x v="1"/>
    <n v="0"/>
    <n v="0"/>
  </r>
  <r>
    <n v="96215"/>
    <n v="512"/>
    <s v="LG-D365 CRM Project"/>
    <n v="2"/>
    <s v="Feature"/>
    <n v="2"/>
    <s v="In Progress"/>
    <b v="0"/>
    <n v="4"/>
    <s v="Normal"/>
    <n v="875"/>
    <s v="VilMat"/>
    <n v="875"/>
    <s v="VilMat"/>
    <n v="96210"/>
    <s v="FR3-SPRINT_1-000 - Email Messages (El.laiškai)"/>
    <s v="*Modulio apimtyje atliekami su klientu pasitvirtinti pirmo prioriteto darbai*_x000d__x000a_&lt;pre&gt;_x000d__x000a_Darbai atliekami sprendinyje pavadinimu: LTG_CRM - #96210 FR3-SPRINT1 System Customizations_x000d__x000a_&lt;/pre&gt;_x000d__x000a_"/>
    <d v="2025-09-15T00:00:00"/>
    <d v="2025-11-07T00:00:00"/>
    <n v="45"/>
    <b v="0"/>
    <m/>
    <n v="24"/>
    <n v="0"/>
    <n v="25.25"/>
    <s v="[List]"/>
    <s v="2025-09-19T09:46:30Z"/>
    <m/>
    <n v="96215"/>
    <x v="1"/>
    <n v="0"/>
    <n v="0"/>
  </r>
  <r>
    <n v="96214"/>
    <n v="512"/>
    <s v="LG-D365 CRM Project"/>
    <n v="2"/>
    <s v="Feature"/>
    <n v="2"/>
    <s v="In Progress"/>
    <b v="0"/>
    <n v="4"/>
    <s v="Normal"/>
    <n v="875"/>
    <s v="VilMat"/>
    <n v="875"/>
    <s v="VilMat"/>
    <n v="96210"/>
    <s v="FR3-SPRINT_1-000 - Queue/Queue Items (Eilės/eilių įrašai)"/>
    <s v="*Modulio apimtyje atliekami su klientu pasitvirtinti pirmo prioriteto darbai*_x000d__x000a__x000d__x000a_&lt;pre&gt;_x000d__x000a_Darbai atliekami sprendinyje pavadinimu: LTG_CRM - #96210 FR3-SPRINT1 System Customizations_x000d__x000a_&lt;/pre&gt;"/>
    <d v="2025-09-15T00:00:00"/>
    <d v="2025-11-07T00:00:00"/>
    <n v="27"/>
    <b v="0"/>
    <m/>
    <n v="82"/>
    <n v="0"/>
    <n v="49.5"/>
    <s v="[List]"/>
    <s v="2025-09-19T09:45:11Z"/>
    <m/>
    <n v="96214"/>
    <x v="1"/>
    <n v="0"/>
    <n v="0"/>
  </r>
  <r>
    <n v="96213"/>
    <n v="512"/>
    <s v="LG-D365 CRM Project"/>
    <n v="2"/>
    <s v="Feature"/>
    <n v="2"/>
    <s v="In Progress"/>
    <b v="0"/>
    <n v="4"/>
    <s v="Normal"/>
    <n v="875"/>
    <s v="VilMat"/>
    <n v="875"/>
    <s v="VilMat"/>
    <n v="96210"/>
    <s v="FR3-SPRINT_1-000 - Cases (Užklausos)"/>
    <s v="*Modulio apimtyje atliekami su klientu pasitvirtinti pirmo prioriteto darbai*_x000d__x000a__x000d__x000a_&lt;pre&gt;_x000d__x000a_Darbai atliekami sprendinyje pavadinimu: LTG_CRM - #96210 FR3-SPRINT1 System Customizations_x000d__x000a_&lt;/pre&gt;"/>
    <d v="2025-09-15T00:00:00"/>
    <d v="2025-11-07T00:00:00"/>
    <n v="15"/>
    <b v="0"/>
    <m/>
    <n v="39.5"/>
    <n v="0"/>
    <n v="19.5"/>
    <s v="[List]"/>
    <s v="2025-09-19T09:42:40Z"/>
    <m/>
    <n v="96213"/>
    <x v="1"/>
    <n v="0"/>
    <n v="0"/>
  </r>
  <r>
    <n v="96210"/>
    <n v="512"/>
    <s v="LG-D365 CRM Project"/>
    <n v="2"/>
    <s v="Feature"/>
    <n v="2"/>
    <s v="In Progress"/>
    <b v="0"/>
    <n v="4"/>
    <s v="Normal"/>
    <n v="875"/>
    <s v="VilMat"/>
    <n v="875"/>
    <s v="VilMat"/>
    <m/>
    <s v="FR3-20250601 - Užsakymas | 2025"/>
    <s v="*Darbai vykdomi remiantis su klientu suderinta ir pasitvirtinta excel lentele (Dokumentas prisegamas prie užduoties).*_x000d__x000a__x000d__x000a_*Modifikacijos apima šiuo pagrindinius sistemos komponentus:*_x000d__x000a__x000d__x000a_|_.Modulis(LT)|_.Modulis(ENG)|_x000d__x000a_| Eilės | Queue |_x000d__x000a_| Eilių įrašai | Queue Items |_x000d__x000a_| Užklausos | Case |_x000d__x000a_| Klientai | Accounts |_x000d__x000a_| Kontaktai | Contacts |_x000d__x000a_| El.laiškai | Email Messages |_x000d__x000a_| Užduotys | Tasks |_x000d__x000a_| Vartotojai | Users |_x000d__x000a__x000d__x000a_____________x000d__x000a__x000d__x000a_Darbai vykdomi 'agile' būdu keliais sprint'ais. Sprint'e atliktos modifikacijos paketais keliamos į testinę aplinką ir perduodama klientui atllikti vizavimą. Patvirtinus funkcijos išbaigtumą modifikacija keliama į Produkcinę aplinką._x000d__x000a__x000d__x000a_*Numatyti ir suderinti sprint'ai:*_x000d__x000a_* SPRINT_1 (155.5 val.)_x000d__x000a_* SPRINT_2_x000d__x000a_* SPRINT_3_x000d__x000a__x000d__x000a_*Darbai atliekami sprendinyje pavadinimu: LTG_CRM - #96210 FR3-20250601 System Customizations*_x000d__x000a__x000d__x000a_____________x000d__x000a__x000d__x000a_* 2025-09-18 dienai su klientu pasitvirtinta ir suderinta SPRINT_1 darbų apimtis_x000d__x000a_* Šios, pagrindinės, užduoties darbų įvykdymo terminai statomi per SPRINT etapą (SPRINT_1, tada SPRINT_2, tada SPRINT_3)._x000d__x000a_* SPRINT_1 numatoma preliminari darbų pabaiga - *2025-10-24* (dėl kliento testavimo efektyvumo, atsakomumo ir keliamų klausimų gali būti atidėta)"/>
    <d v="2025-09-18T00:00:00"/>
    <d v="2025-10-24T00:00:00"/>
    <n v="27"/>
    <b v="0"/>
    <m/>
    <n v="155.5"/>
    <n v="0"/>
    <n v="101"/>
    <s v="[List]"/>
    <s v="2025-09-19T09:22:41Z"/>
    <m/>
    <n v="96210"/>
    <x v="2"/>
    <n v="0"/>
    <n v="0"/>
  </r>
  <r>
    <n v="96064"/>
    <n v="512"/>
    <s v="LG-D365 CRM Project"/>
    <n v="2"/>
    <s v="Feature"/>
    <n v="17"/>
    <s v="Feedback from customer"/>
    <b v="0"/>
    <n v="4"/>
    <s v="Normal"/>
    <n v="875"/>
    <s v="VilMat"/>
    <n v="875"/>
    <s v="VilMat"/>
    <n v="86268"/>
    <s v="FR1-20250625-002 - CRM/KIWI integracija - Galimybės atverti CRM kortelę iš MS pusės"/>
    <s v="*Kliento poreikis:*_x000d__x000a_* Naujai sukurta CRM skambučio kortelė turėtų būti atidaroma atsiliepusiam į skambutį vartotojui naujame naršyklės lange automatiškai._x000d__x000a_* Klientas tikisi, kad CRM įrašo langas galėtų būti atveriamas vartotojui iš jų Microsoft organizacijos profilio pusės (unikalus servisas, specialūs konektoriai ar kt.)_x000d__x000a__x000d__x000a________________________x000d__x000a__x000d__x000a_*Problematika:*_x000d__x000a_* KiwiCONTACT sistemos atstovas sako, kad toks kortelės pakėlimas nėra jų turimos programos dalis ir jie to nerealizuoja_x000d__x000a_* Pasiūlytas tarpinio serviso kūrimo variantas klientui nepriimtinas (neplanuoja samdyti trečiosios šalies funkcijos kūrimui)_x000d__x000a_* Pagal numatytąją politiką MS neturi galimybės atverti CRM įrašo langą identifikuotam vartotojui, pagal gautą informaciją iš trečiosios šalies sistemos (KiwiCONTACT), nes tai reikštų, kad reiktų jungtis tiesiogiai į to vartotojo įrenginį su kuriuo jis tuo metu dirba (kompiuteris, plančetė, telefonas, etc.)_x000d__x000a_* CRM sistemai nėra lengva identifikuoti, kurie vartotojai šiuo metu dirba su sistema ir yra aktyvūs (vartotojai prisijungia prie CRM ir palieka prisijungę, nors nebedirba)_x000d__x000a__x000d__x000a________________________x000d__x000a__x000d__x000a_*Reikalingi veiksmai:*_x000d__x000a_* Patikrinti ir pateikti atsakymą, kokie yra (jeigu yra) galimi variantai, kaip būtų galima atverti CRM įrašo kortelę identifikuoto vartotojo įrenginyje po gautos duomenų apimties iš trečiosios šalies sistemos. _x000d__x000a_* Jeigu yra galimi variantai - pateikti potencialius/preliminarius vertinimus, kiek toks sprendimas gali pareikalauti darbo valandų."/>
    <m/>
    <d v="2025-09-26T00:00:00"/>
    <n v="70"/>
    <b v="0"/>
    <m/>
    <m/>
    <n v="5.25"/>
    <n v="5.25"/>
    <s v="[List]"/>
    <s v="2025-09-16T11:34:23Z"/>
    <m/>
    <n v="96064"/>
    <x v="2"/>
    <n v="0"/>
    <n v="0"/>
  </r>
  <r>
    <n v="94099"/>
    <n v="512"/>
    <s v="LG-D365 CRM Project"/>
    <n v="3"/>
    <s v="Support"/>
    <n v="3"/>
    <s v="Resolved"/>
    <b v="0"/>
    <n v="4"/>
    <s v="Normal"/>
    <n v="875"/>
    <s v="VilMat"/>
    <n v="875"/>
    <s v="VilMat"/>
    <m/>
    <s v="LTG INFRA/LINK testuotojų mokymai - dalyvavimo minutės"/>
    <s v="Dalyvaujama EY atliekamuose mokymuose ateityje gebėjimui perimti ir atlikti produkto aptarnavimą"/>
    <d v="2025-08-05T00:00:00"/>
    <d v="2025-08-21T00:00:00"/>
    <n v="100"/>
    <b v="0"/>
    <m/>
    <m/>
    <n v="6"/>
    <n v="6"/>
    <s v="[List]"/>
    <s v="2025-08-05T13:19:09Z"/>
    <m/>
    <n v="94099"/>
    <x v="2"/>
    <n v="0"/>
    <n v="0"/>
  </r>
  <r>
    <n v="94020"/>
    <n v="512"/>
    <s v="LG-D365 CRM Project"/>
    <n v="3"/>
    <s v="Support"/>
    <n v="3"/>
    <s v="Resolved"/>
    <b v="0"/>
    <n v="7"/>
    <s v="Immediate"/>
    <n v="830"/>
    <s v="EgiAsi"/>
    <n v="875"/>
    <s v="VilMat"/>
    <m/>
    <s v="Kliento prevencijos informacija - atvaizdavimo pakeitimas"/>
    <s v="Sveiki, užsakau darbą, vykdyti nedelsiant, nelaukiant kitų prioritetų suderinimo, nes tai susiję su audito rekomendacija._x000d__x000a__x000d__x000a_Į &quot;Naujas kliento prevencijos įrašas&quot; kortelę įterpti naują lauką nuorodai įkopijuoti (idealu kad būtų kaip &quot;Dokumentų vieta&quot;, su gaubliuku, kurė paspaudus atvertų nuorodą). Pridedu pav. su vieta. _x000d__x000a_Lauko pavadinimas &quot;Dokumentas DVS/ DVS document&quot;."/>
    <d v="2025-08-06T00:00:00"/>
    <d v="2025-08-08T00:00:00"/>
    <n v="100"/>
    <b v="0"/>
    <n v="2.5"/>
    <n v="2.5"/>
    <n v="2.5"/>
    <n v="2.5"/>
    <s v="[List]"/>
    <s v="2025-08-05T05:05:10Z"/>
    <m/>
    <n v="94020"/>
    <x v="2"/>
    <n v="2.5"/>
    <n v="1"/>
  </r>
  <r>
    <n v="91467"/>
    <n v="512"/>
    <s v="LG-D365 CRM Project"/>
    <n v="2"/>
    <s v="Feature"/>
    <n v="17"/>
    <s v="Feedback from customer"/>
    <b v="0"/>
    <n v="4"/>
    <s v="Normal"/>
    <n v="875"/>
    <s v="VilMat"/>
    <n v="830"/>
    <s v="EgiAsi"/>
    <m/>
    <s v="FR2-20250625-000 - Kliento migravimas iš Sales Hub į Copilot Service Workspace programą"/>
    <s v="Atliekama sistemos analizė ar įmanoma klientui, be didelių išlaidų, persikvalifikuoti iš Sales Hub į Service Workspace programą išlaikant tas pačias formas, tačiau persikvalifikuojant dirbti su nauju dizainu._x000d__x000a_Atlikus analizę informuojamas klientas apie perėjimo galimybes. _x000d__x000a__x000d__x000a_Migravimas į Service Workspace programą tiesiogiai susijęs su telefonijos sprendimo integravimusi. Nuo to priklausys ar klientas galėtų dirbti su skambučiais naujame, programos suteikiamame, dizaine._x000d__x000a_Užduotis susijusi su: #86268 "/>
    <m/>
    <d v="2025-07-31T00:00:00"/>
    <n v="60"/>
    <b v="0"/>
    <n v="30"/>
    <n v="30"/>
    <n v="5.25"/>
    <n v="5.25"/>
    <s v="[List]"/>
    <s v="2025-06-25T11:48:05Z"/>
    <m/>
    <n v="91467"/>
    <x v="2"/>
    <n v="18"/>
    <n v="3.428571428571428"/>
  </r>
  <r>
    <n v="91466"/>
    <n v="512"/>
    <s v="LG-D365 CRM Project"/>
    <n v="2"/>
    <s v="Feature"/>
    <n v="17"/>
    <s v="Feedback from customer"/>
    <b v="0"/>
    <n v="4"/>
    <s v="Normal"/>
    <n v="875"/>
    <s v="VilMat"/>
    <n v="830"/>
    <s v="EgiAsi"/>
    <n v="86268"/>
    <s v="FR1-20250625-001 - Funkcinio-techninio projektavimo dokumento paruošimas ir perdavimas klientui (KIWI Integracija)"/>
    <s v="Paruošiamas funkcinis - techninis, dvipusės KIWI telefonijos sprendimo integracijos su CRM, dokumentas_x000d__x000a_"/>
    <m/>
    <m/>
    <n v="100"/>
    <b v="0"/>
    <n v="32"/>
    <n v="32"/>
    <n v="31.5"/>
    <n v="31.5"/>
    <s v="[List]"/>
    <s v="2025-06-25T11:43:50Z"/>
    <m/>
    <n v="91466"/>
    <x v="2"/>
    <n v="32"/>
    <n v="1.015873015873016"/>
  </r>
  <r>
    <n v="90447"/>
    <n v="512"/>
    <s v="LG-D365 CRM Project"/>
    <n v="2"/>
    <s v="Feature"/>
    <n v="2"/>
    <s v="In Progress"/>
    <b v="0"/>
    <n v="4"/>
    <s v="Normal"/>
    <n v="875"/>
    <s v="VilMat"/>
    <n v="875"/>
    <s v="VilMat"/>
    <m/>
    <s v="FR3-20250601 - Nauji kliento poreikiai | susitikimų minutės (Pradžia 2025-06-04) | LTG/GO-ERP"/>
    <s v="Susitikimo metu aptariami potencialūs poreikiai ir jų galimybės būti įgyvendintomis, remiantis sistemos galimybėmis._x000d__x000a__x000d__x000a_Pirmas susitikimas 2025-06-04:_x000d__x000a_* Aptarti pirmieji 14 punktų iš kliento poreikių excelio sąrašo_x000d__x000a__x000d__x000a_Antras susitikimas 2025-06-09:_x000d__x000a_* Aptarti sekantys punktai iki 22-24 poreikio_x000d__x000a__x000d__x000a_Trečiasis susitikimas 2025-06-11:_x000d__x000a_* Aptarti sekantys punktai iki 41 poreikio_x000d__x000a__x000d__x000a_Ketvirtasis susitikimas 2025-06-12:_x000d__x000a_* Aptarti sekantys punktai iki 45 poreikio_x000d__x000a__x000d__x000a_Penktasis susitikimas 2025-08-27:_x000d__x000a_* Aptarta ir susiderinta dalis pirmo prioriteto poreikių_x000d__x000a__x000d__x000a_Šeštasis susitikimas 2025-08-28:_x000d__x000a_* Aptarta ir susiderinta dalis pirmo prioriteto poreikių_x000d__x000a__x000d__x000a_Septintasis susitikimas 2025-09-02:_x000d__x000a_* Aptarta ir susiderinta dalis pirmo prioriteto poreikių_x000d__x000a__x000d__x000a_Aštuntasis susitikimas 2025-09-03:_x000d__x000a_* Aptarta ir susiderinta dalis pirmo prioriteto poreikių_x000d__x000a__x000d__x000a_Devintasis susitikimas 2025-09-10:_x000d__x000a_* Aptarta SLA skaičiavimo logika ir keliami poreikiai modifikacijoms susijusiems šia tema, pagal poreikių excelį_x000d__x000a__x000d__x000a_Dešimtasis susitikimas 2025-09-12:_x000d__x000a_* Aptarti ir suderinti galutiniai pirmo prioriteto darbai, jų apimtys, techniniai išpildymai_x000d__x000a__x000d__x000a_Vienuoliktasis susitikimas 2025-09-23:_x000d__x000a_* Aptarta ir suderinta dalis antro prioriteto poreikių_x000d__x000a__x000d__x000a_Dvyliktasis susitikimas 2025-09-24:_x000d__x000a_* Aptarta ir suderinta dalis antro prioriteto poreikių_x000d__x000a__x000d__x000a_Tryliktasis susitikimas 2025-09-30:_x000d__x000a_* Aptarta ir suderinta dalis antro prioriteto poreikių, iškelti papildomi poreikiai_x000d__x000a__x000d__x000a_Keturioliktasis susitikimas 2025-10-01:_x000d__x000a_* Aptarta ir suderinta dalis antro prioriteto poreikių, aptarti alternatyvūs įgyvendinimo scenarijai_x000d__x000a__x000d__x000a_Penkioliktasis susitikimas 2025-10-02:_x000d__x000a_* Aptarta ir suderinta dalis antro prioriteto poreikių, aptarti alternatyvūs įgyvendinimo scenarijai, iškelti papildomi poreikiai_x000d__x000a__x000d__x000a_Šešioliktasis susitikimas 2025-10-08:_x000d__x000a_* Aptarta ir suderinta dalis antro prioriteto poreikių, pasiūlyta alternatyvių įgyvendinimo scenarijų_x000d__x000a__x000d__x000a_Septynioliktasis susitikimas 2025-10-09:_x000d__x000a_* Aptarta ir suderinta dalis antro prioriteto poreikių, suderintas alternatyvus funkcinis įgyvendinimas pirminio poreikio atžvilgiu_x000d__x000a__x000d__x000a_Aštuonioliktasis susitikimas 2025-10-13:_x000d__x000a_* Aptarta ir suderinta dalis antro prioriteto poreikių, aptartos pranešimų siuntimo variacijos ir galimas alternatyvus pranešimų siuntimo metodas užklausų atveju_x000d__x000a__x000d__x000a________________x000d__x000a__x000d__x000a_Dokumento pateikimas klientui su pradiniais komentarais:_x000d__x000a_* Klientui pateikta naujausia dokumento versija 2025-06-23_x000d__x000a__x000d__x000a_Toliau vykdomas sąrašo papildymas iš kliento, atitinkamai vertinimas poreikių be iteracijos su klientu ir pateikiant trumpus atsakymus į punktus klientui._x000d__x000a__x000d__x000a________________x000d__x000a__x000d__x000a_2025-09-17:_x000d__x000a_* Pateikta atnaujinta vertinimo lentelė su atnaujintu poreikių exceliu ir papildytais komentarais bei vertinimais_x000d__x000a__x000d__x000a_2025-09-18:_x000d__x000a_* Klientas patvirtina užsakomus 1-o prioriteto poreikius_x000d__x000a__x000d__x000a_Suplanuotas pirmo prioriteto darbų grafikas:_x000d__x000a_Pradžia: 2025-09-18_x000d__x000a_Pabaiga: 2025-10-24_x000d__x000a__x000d__x000a_2025-09-23:_x000d__x000a_* Pradėti derinti antro prioriteto poreikiai  "/>
    <d v="2025-06-04T00:00:00"/>
    <m/>
    <n v="80"/>
    <b v="0"/>
    <n v="795"/>
    <n v="795"/>
    <n v="81.5"/>
    <n v="81.5"/>
    <s v="[List]"/>
    <s v="2025-06-04T16:18:51Z"/>
    <m/>
    <n v="90447"/>
    <x v="1"/>
    <n v="636"/>
    <n v="7.803680981595092"/>
  </r>
  <r>
    <n v="86268"/>
    <n v="512"/>
    <s v="LG-D365 CRM Project"/>
    <n v="2"/>
    <s v="Feature"/>
    <n v="17"/>
    <s v="Feedback from customer"/>
    <b v="0"/>
    <n v="4"/>
    <s v="Normal"/>
    <n v="830"/>
    <s v="EgiAsi"/>
    <n v="830"/>
    <s v="EgiAsi"/>
    <m/>
    <s v="FR1-20250625-000 - CRM &lt;&gt; KIWI integracija"/>
    <s v="Sveiki, turim poreikį integracijai tarp CRM ir KiwiCONTACT. _x000d__x000a_Siunčiu API dokumentaciją. URL bus https://data.cc.litrail.lt/_x000d__x000a__x000d__x000a_Poreikis jau anksčiau buvo nagrinėtas su Pijumi, bet gal reiks viską pakartoti._x000d__x000a__x000d__x000a_Preliminarus siekiamas rezultatas - kad paskambinus Klientui per KIWI, atsidarytų CRM Kliento kortelė ir susikurtų užklausa (jei taip galima)._x000d__x000a_Kol kas tikslaus proceso nėra, gryninamasi, šią savaitę sugrįšiu su detalėm. _x000d__x000a__x000d__x000a_Būtų gerai pasiplanuoti kitai savaitei resursus susitikimui._x000d__x000a_"/>
    <m/>
    <m/>
    <n v="85"/>
    <b v="0"/>
    <n v="16"/>
    <n v="48"/>
    <n v="17"/>
    <n v="53.75"/>
    <s v="[List]"/>
    <s v="2025-04-28T11:14:50Z"/>
    <m/>
    <n v="86268"/>
    <x v="2"/>
    <n v="13.6"/>
    <n v="0.7999999999999999"/>
  </r>
  <r>
    <n v="78569"/>
    <n v="512"/>
    <s v="LG-D365 CRM Project"/>
    <n v="3"/>
    <s v="Support"/>
    <n v="7"/>
    <s v="Stalled"/>
    <b v="0"/>
    <n v="4"/>
    <s v="Normal"/>
    <n v="830"/>
    <s v="EgiAsi"/>
    <n v="830"/>
    <s v="EgiAsi"/>
    <m/>
    <s v="BDAR atitikties užtikrinimas"/>
    <s v="Reikalingas sprendimas, kuris užtikrintų technines ir organizacines priemones duomenims apsaugoti pagal GDPR reikalavimus, taip pat turi būti užtikrinamos suprojektuotos duomenų apsaugos ir numatytosios duomenų apsaugos principų laikymasi (BDAR 25 str.), įskaitant, bet tuo neapsiribojant, saugojimo terminų nustatymą, asmens duomenų anonimiškumą (pseudonimizavimą) ar ištrynimą automatizuotomis priemonėmis ir kt._x000d__x000a__x000d__x000a_"/>
    <m/>
    <m/>
    <n v="0"/>
    <b v="0"/>
    <m/>
    <m/>
    <n v="0.5"/>
    <n v="0.5"/>
    <s v="[List]"/>
    <s v="2025-01-14T07:14:33Z"/>
    <m/>
    <n v="78569"/>
    <x v="2"/>
    <n v="0"/>
    <n v="0"/>
  </r>
  <r>
    <n v="78567"/>
    <n v="512"/>
    <s v="LG-D365 CRM Project"/>
    <n v="3"/>
    <s v="Support"/>
    <n v="3"/>
    <s v="Resolved"/>
    <b v="0"/>
    <n v="4"/>
    <s v="Normal"/>
    <n v="830"/>
    <s v="EgiAsi"/>
    <n v="830"/>
    <s v="EgiAsi"/>
    <m/>
    <s v="Priedų nukrovimas iš DB "/>
    <s v="Poreikis yra susitvarkyti visokių priedų kaupimą DB, nes stoja greitaveika ir labai greit pildosi vieta._x000d__x000a_Buvome informuoti, jog turite kažkokį sprendimą._x000d__x000a__x000d__x000a_Prašau pavertinti kiek kainuotų šio sprendimo įdiegimas ir failų sutvarkymas valandomis ir laike._x000d__x000a_"/>
    <m/>
    <m/>
    <n v="0"/>
    <b v="0"/>
    <n v="65"/>
    <n v="65"/>
    <n v="3.75"/>
    <n v="3.75"/>
    <s v="[List]"/>
    <s v="2025-01-14T06:48:34Z"/>
    <m/>
    <n v="78567"/>
    <x v="2"/>
    <n v="0"/>
    <n v="0"/>
  </r>
  <r>
    <n v="78226"/>
    <n v="512"/>
    <s v="LG-D365 CRM Project"/>
    <n v="3"/>
    <s v="Support"/>
    <n v="3"/>
    <s v="Resolved"/>
    <b v="0"/>
    <n v="4"/>
    <s v="Normal"/>
    <n v="996"/>
    <s v="VlaRaz"/>
    <n v="875"/>
    <s v="VilMat"/>
    <m/>
    <s v="Patikrinti techninę dokumentaciją ir vartotojų vadovus"/>
    <s v="https://pm.go-erp.eu/issues/69759_x000d__x000a_https://pm.go-erp.eu/issues/69762_x000d__x000a_https://pm.go-erp.eu/issues/69789_x000d__x000a_"/>
    <d v="2025-01-16T00:00:00"/>
    <m/>
    <n v="100"/>
    <b v="0"/>
    <n v="12"/>
    <n v="12"/>
    <n v="0"/>
    <n v="0"/>
    <s v="[List]"/>
    <s v="2025-01-08T09:36:55Z"/>
    <m/>
    <n v="78226"/>
    <x v="2"/>
    <n v="12"/>
    <n v="0"/>
  </r>
  <r>
    <n v="77348"/>
    <n v="512"/>
    <s v="LG-D365 CRM Project"/>
    <n v="2"/>
    <s v="Feature"/>
    <n v="7"/>
    <s v="Stalled"/>
    <b v="0"/>
    <n v="4"/>
    <s v="Normal"/>
    <n v="875"/>
    <s v="VilMat"/>
    <n v="830"/>
    <s v="EgiAsi"/>
    <m/>
    <s v="Pridėti papildomą parinktį užklausos laukelyje &quot;Pretenzijos nepagrįstumo priežastis&quot;"/>
    <s v="Poreikis:_x000d__x000a_Papildyti: Pretenzija teikiama klientui_x000d__x000a__x000d__x000a_Techninis išpildymas:_x000d__x000a_* Modifikuojamas laukelis: Pretenzijos nepagrįstumo priežastis (Label: Claim rejection reaso; logical: ey_claimrejectionreason)_x000d__x000a_* Laukelis papildomas pasirinkimu: Pretenzija teikiama klientui (Angl. Claim applied to customer)_x000d__x000a_* Modifikacijos atliekamos modulyje: Užklausos (Angl.Cases)_x000d__x000a__x000d__x000a_Vertinimas:_x000d__x000a_* Laukelio modifikacijos - 0.5val._x000d__x000a_* Testavimas trijose aplinkose - 1val._x000d__x000a_* Modifikacijų pernešimas į TEST ir PROD aplinkas - 2 val._x000d__x000a_* *VISO: 3,5val. darbų*_x000d__x000a__x000d__x000a_In-Scope:_x000d__x000a_* Claim rejection reason laukelio papildymas papildomu pasirinkimu_x000d__x000a_* Testavimas DEV, TEST, PROD aplinkose_x000d__x000a_* Modifikacijų migravimas iš DEV į TEST ir PROD aplinkas_x000d__x000a_* Laukelio vertimo į lietuvių kalbą aplikavimas_x000d__x000a__x000d__x000a_Out-of-scope:_x000d__x000a_* Bet kokių techninių dokumentų kūrimas/papildymas_x000d__x000a_* Laukelio tipo keitimas_x000d__x000a_* Esamų parinkčių šalinimas_x000d__x000a_* Kitų nesuderintų parinkčių papildymas_x000d__x000a__x000d__x000a_!clipboard-202412101600-i4jym.png!_x000d__x000a_"/>
    <m/>
    <m/>
    <n v="0"/>
    <b v="0"/>
    <n v="3.5"/>
    <n v="3.5"/>
    <n v="0.5"/>
    <n v="0.5"/>
    <s v="[List]"/>
    <s v="2024-12-10T14:10:18Z"/>
    <m/>
    <n v="77348"/>
    <x v="2"/>
    <n v="0"/>
    <n v="0"/>
  </r>
  <r>
    <n v="76336"/>
    <n v="512"/>
    <s v="LG-D365 CRM Project"/>
    <n v="2"/>
    <s v="Feature"/>
    <n v="3"/>
    <s v="Resolved"/>
    <b v="0"/>
    <n v="4"/>
    <s v="Normal"/>
    <n v="875"/>
    <s v="VilMat"/>
    <n v="875"/>
    <s v="VilMat"/>
    <m/>
    <s v="FR - Užduočių(Task) ir Užklausų(Case) modulių modifikacijos"/>
    <s v=""/>
    <m/>
    <m/>
    <n v="100"/>
    <b v="0"/>
    <m/>
    <n v="462.5"/>
    <n v="2.25"/>
    <n v="687.4"/>
    <s v="[List]"/>
    <s v="2024-11-29T16:09:16Z"/>
    <m/>
    <n v="76336"/>
    <x v="2"/>
    <n v="0"/>
    <n v="0"/>
  </r>
  <r>
    <n v="67630"/>
    <n v="512"/>
    <s v="LG-D365 CRM Project"/>
    <n v="2"/>
    <s v="Feature"/>
    <n v="3"/>
    <s v="Resolved"/>
    <b v="0"/>
    <n v="4"/>
    <s v="Normal"/>
    <n v="875"/>
    <s v="VilMat"/>
    <n v="830"/>
    <s v="EgiAsi"/>
    <m/>
    <s v="Teams Adaptive Cards - Pakartotiniai pranešimai nurodytam asmeniui į Teams apie tą pačią užduotį"/>
    <s v="Labas, gal jau klausiau bet noriu užsitvirtinti: ar techniškai įmanoma padaryti Teams tipo užduotis (kai Teams iššoka su flow) daugkartines? t.y. dabar sukūrus tokią gauna nelicencijuotas asmuo į Teams ir gali atsakyti ir užduotis užsidaro. Ar ją galima esant poreikiui tikslintis informaciją atidarinėti/ inicijuoti daug kartų tą pačią - kol tiks atsakymas? Iškviesti tą flow vėl ir vėl kaip suprantu reikia. Nes dabar jei gavau atsakymą, daugiau neina panaudot tos užduoties._x000d__x000a_Egidijus"/>
    <d v="2024-04-23T00:00:00"/>
    <m/>
    <n v="100"/>
    <b v="0"/>
    <m/>
    <m/>
    <n v="1.75"/>
    <n v="1.75"/>
    <s v="[List]"/>
    <s v="2024-04-23T13:30:53Z"/>
    <m/>
    <n v="67630"/>
    <x v="2"/>
    <n v="0"/>
    <n v="0"/>
  </r>
  <r>
    <n v="67288"/>
    <n v="512"/>
    <s v="LG-D365 CRM Project"/>
    <n v="3"/>
    <s v="Support"/>
    <n v="6"/>
    <s v="Rejected"/>
    <b v="0"/>
    <n v="4"/>
    <s v="Normal"/>
    <n v="830"/>
    <s v="EgiAsi"/>
    <n v="830"/>
    <s v="EgiAsi"/>
    <m/>
    <s v="Rizikos vertinimo lauko užkeitimas"/>
    <s v="Sveiki, atsirado poreikis praplėsti rizikos verinimo būseną papildomu pasirinkimu, tačiau dabartinis tipas yra pasirinkimas iš dviejų._x000d__x000a_Prašau pavertinti kiek kainuotų sukurti analogišką lauką su iškrentačiu meniu (daugiau nei 2 reikšmių sąrašas) ir kada galėtumėte realizuoti. _x000d__x000a_Bus reikalingas duomenų sumapinimas ir užkėlimas ant naujo pasirinkimo jau sukurtiems/istoriniams duomenims._x000d__x000a__x000d__x000a__x000d__x000a_"/>
    <d v="2024-04-16T00:00:00"/>
    <m/>
    <n v="0"/>
    <b v="0"/>
    <m/>
    <m/>
    <n v="1.75"/>
    <n v="1.75"/>
    <s v="[List]"/>
    <s v="2024-04-15T12:22:12Z"/>
    <m/>
    <n v="67288"/>
    <x v="2"/>
    <n v="0"/>
    <n v="0"/>
  </r>
  <r>
    <n v="65707"/>
    <n v="512"/>
    <s v="LG-D365 CRM Project"/>
    <n v="3"/>
    <s v="Support"/>
    <n v="2"/>
    <s v="In Progress"/>
    <b v="0"/>
    <n v="4"/>
    <s v="Normal"/>
    <n v="827"/>
    <s v="PijUog"/>
    <m/>
    <m/>
    <m/>
    <s v="Administravimas ir darbų koordinavimas"/>
    <s v=""/>
    <d v="2024-01-01T00:00:00"/>
    <m/>
    <n v="0"/>
    <b v="0"/>
    <m/>
    <m/>
    <n v="8.529999999999999"/>
    <n v="8.529999999999999"/>
    <s v="[List]"/>
    <s v="2024-02-21T09:23:07Z"/>
    <m/>
    <n v="65707"/>
    <x v="2"/>
    <n v="0"/>
    <n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3" cacheId="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13:B14" firstHeaderRow="1" firstDataRow="1" firstDataCol="0" rowPageCount="1" colPageCount="1"/>
  <pivotFields count="32">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1"/>
        <item t="data" sd="1" x="0"/>
        <item t="data" h="1" sd="1" x="2"/>
        <item t="default" sd="1"/>
      </items>
    </pivotField>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Items count="1">
    <i t="data" r="0" i="0"/>
  </rowItems>
  <colItems count="1">
    <i t="data" r="0" i="0"/>
  </colItems>
  <pageFields count="1">
    <pageField fld="29" hier="-1"/>
  </pageFields>
  <dataFields count="1">
    <dataField name="Sum of DE" fld="30" subtotal="sum" showDataAs="normal" baseField="0" baseItem="0" numFmtId="164"/>
  </dataFields>
  <formats count="5">
    <format action="formatting" dxfId="38">
      <pivotArea type="all" dataOnly="0" outline="0" fieldPosition="0"/>
    </format>
    <format action="formatting" dxfId="37">
      <pivotArea type="normal" dataOnly="1" outline="0" collapsedLevelsAreSubtotals="1" fieldPosition="0"/>
    </format>
    <format action="formatting" dxfId="36">
      <pivotArea type="normal" dataOnly="0" labelOnly="1" outline="0" axis="axisValues" fieldPosition="0"/>
    </format>
    <format action="formatting" dxfId="35">
      <pivotArea type="normal" dataOnly="1" outline="0" collapsedLevelsAreSubtotals="1" fieldPosition="0"/>
    </format>
    <format action="formatting" dxfId="34">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5" cacheId="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8:B9" firstHeaderRow="1" firstDataRow="1" firstDataCol="0" rowPageCount="1" colPageCount="1"/>
  <pivotFields count="32">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1"/>
        <item t="data" sd="1" x="0"/>
        <item t="data" h="1"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Items count="1">
    <i t="data" r="0" i="0"/>
  </rowItems>
  <colItems count="1">
    <i t="data" r="0" i="0"/>
  </colItems>
  <pageFields count="1">
    <pageField fld="29" hier="-1"/>
  </pageFields>
  <dataFields count="1">
    <dataField name="Sum of Column1.spent_hours" fld="23" subtotal="sum" showDataAs="normal" baseField="0" baseItem="0"/>
  </dataFields>
  <formats count="4">
    <format action="formatting" dxfId="33">
      <pivotArea type="all" dataOnly="0" outline="0" fieldPosition="0"/>
    </format>
    <format action="formatting" dxfId="32">
      <pivotArea type="normal" dataOnly="1" outline="0" collapsedLevelsAreSubtotals="1" fieldPosition="0"/>
    </format>
    <format action="formatting" dxfId="31">
      <pivotArea type="normal" dataOnly="0" labelOnly="1" outline="0" axis="axisValues" fieldPosition="0"/>
    </format>
    <format action="formatting" dxfId="30">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1" cacheId="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21:B50" firstHeaderRow="1" firstDataRow="1" firstDataCol="1" rowPageCount="1" colPageCount="1"/>
  <pivotFields count="9">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descending" defaultSubtotal="1">
      <items count="48">
        <item t="data" sd="1" x="46"/>
        <item t="data" sd="1" x="28"/>
        <item t="data" sd="1" x="29"/>
        <item t="data" sd="1" x="30"/>
        <item t="data" sd="1" x="31"/>
        <item t="data" sd="1" x="32"/>
        <item t="data" sd="1" x="33"/>
        <item t="data" sd="1" x="0"/>
        <item t="data" sd="1" x="1"/>
        <item t="data" sd="1" x="2"/>
        <item t="data" sd="1" x="3"/>
        <item t="data" sd="1" x="4"/>
        <item t="data" sd="1" x="5"/>
        <item t="data" sd="1" x="6"/>
        <item t="data" sd="1" x="7"/>
        <item t="data" sd="1" x="8"/>
        <item t="data" sd="1" x="9"/>
        <item t="data" sd="1" x="10"/>
        <item t="data" sd="1" x="11"/>
        <item t="data" sd="1" x="12"/>
        <item t="data" sd="1" x="34"/>
        <item t="data" sd="1" x="13"/>
        <item t="data" sd="1" x="14"/>
        <item t="data" sd="1" x="15"/>
        <item t="data" sd="1" x="16"/>
        <item t="data" sd="1" x="17"/>
        <item t="data" sd="1" x="18"/>
        <item t="data" sd="1" x="19"/>
        <item t="data" sd="1" x="20"/>
        <item t="data" sd="1" x="21"/>
        <item t="data" sd="1" x="22"/>
        <item t="data" sd="1" x="23"/>
        <item t="data" sd="1" x="24"/>
        <item t="data" sd="1" x="35"/>
        <item t="data" sd="1" x="36"/>
        <item t="data" sd="1" x="25"/>
        <item t="data" sd="1" x="37"/>
        <item t="data" sd="1" x="38"/>
        <item t="data" sd="1" x="39"/>
        <item t="data" sd="1" x="40"/>
        <item t="data" sd="1" x="41"/>
        <item t="data" sd="1" x="42"/>
        <item t="data" sd="1" x="43"/>
        <item t="data" sd="1" x="44"/>
        <item t="data" sd="1" x="26"/>
        <item t="data" sd="1" x="27"/>
        <item t="data" sd="1" x="45"/>
        <item t="default" sd="1"/>
      </items>
    </pivotField>
    <pivotField axis="axisPage" showDropDowns="1" compact="1" outline="1" subtotalTop="1" dragToRow="1" dragToCol="1" multipleItemSelectionAllowed="1" dragToPage="1" dragToData="1" dragOff="1" showAll="0" topAutoShow="1" itemPageCount="10" sortType="manual" defaultSubtotal="1">
      <items count="6">
        <item t="data" h="1" sd="1" m="1" x="4"/>
        <item t="data" h="1" sd="1" x="3"/>
        <item t="data" h="1" sd="1" x="2"/>
        <item t="data" h="1" sd="1" x="1"/>
        <item t="data" sd="1" x="0"/>
        <item t="default" sd="1"/>
      </items>
    </pivotField>
  </pivotFields>
  <rowFields count="1">
    <field x="7"/>
  </rowFields>
  <rowItems count="29">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5"/>
    </i>
    <i t="data" r="0" i="0">
      <x v="44"/>
    </i>
    <i t="data" r="0" i="0">
      <x v="45"/>
    </i>
    <i t="grand" r="0" i="0">
      <x v="0"/>
    </i>
  </rowItems>
  <colItems count="1">
    <i t="data" r="0" i="0"/>
  </colItems>
  <pageFields count="1">
    <pageField fld="8" hier="-1"/>
  </pageFields>
  <dataFields count="1">
    <dataField name="Sum of Hours" fld="5" subtotal="sum"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2" cacheId="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3:B4" firstHeaderRow="1" firstDataRow="1" firstDataCol="0" rowPageCount="1" colPageCount="1"/>
  <pivotFields count="32">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1"/>
        <item t="data" sd="1" x="0"/>
        <item t="data" h="1"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Items count="1">
    <i t="data" r="0" i="0"/>
  </rowItems>
  <colItems count="1">
    <i t="data" r="0" i="0"/>
  </colItems>
  <pageFields count="1">
    <pageField fld="29" hier="-1"/>
  </pageFields>
  <dataFields count="1">
    <dataField name="Sum of Column1.estimated_hours" fld="21" subtotal="sum" showDataAs="normal" baseField="0" baseItem="0"/>
  </dataFields>
  <formats count="4">
    <format action="formatting" dxfId="42">
      <pivotArea type="all" dataOnly="0" outline="0" fieldPosition="0"/>
    </format>
    <format action="formatting" dxfId="41">
      <pivotArea type="normal" dataOnly="1" outline="0" collapsedLevelsAreSubtotals="1" fieldPosition="0"/>
    </format>
    <format action="formatting" dxfId="40">
      <pivotArea type="normal" dataOnly="0" labelOnly="1" outline="0" axis="axisValues" fieldPosition="0"/>
    </format>
    <format action="formatting" dxfId="39">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1" cacheId="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B32" firstHeaderRow="1" firstDataRow="1" firstDataCol="1" rowPageCount="1" colPageCount="1"/>
  <pivotFields count="9">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descending" defaultSubtotal="1">
      <items count="48">
        <item t="data" sd="1" x="46"/>
        <item t="data" sd="1" x="28"/>
        <item t="data" sd="1" x="29"/>
        <item t="data" sd="1" x="30"/>
        <item t="data" sd="1" x="31"/>
        <item t="data" sd="1" x="32"/>
        <item t="data" sd="1" x="33"/>
        <item t="data" sd="1" x="0"/>
        <item t="data" sd="1" x="1"/>
        <item t="data" sd="1" x="2"/>
        <item t="data" sd="1" x="3"/>
        <item t="data" sd="1" x="4"/>
        <item t="data" sd="1" x="5"/>
        <item t="data" sd="1" x="6"/>
        <item t="data" sd="1" x="7"/>
        <item t="data" sd="1" x="8"/>
        <item t="data" sd="1" x="9"/>
        <item t="data" sd="1" x="10"/>
        <item t="data" sd="1" x="11"/>
        <item t="data" sd="1" x="12"/>
        <item t="data" sd="1" x="34"/>
        <item t="data" sd="1" x="13"/>
        <item t="data" sd="1" x="14"/>
        <item t="data" sd="1" x="15"/>
        <item t="data" sd="1" x="16"/>
        <item t="data" sd="1" x="17"/>
        <item t="data" sd="1" x="18"/>
        <item t="data" sd="1" x="19"/>
        <item t="data" sd="1" x="20"/>
        <item t="data" sd="1" x="21"/>
        <item t="data" sd="1" x="22"/>
        <item t="data" sd="1" x="23"/>
        <item t="data" sd="1" x="24"/>
        <item t="data" sd="1" x="35"/>
        <item t="data" sd="1" x="36"/>
        <item t="data" sd="1" x="25"/>
        <item t="data" sd="1" x="37"/>
        <item t="data" sd="1" x="38"/>
        <item t="data" sd="1" x="39"/>
        <item t="data" sd="1" x="40"/>
        <item t="data" sd="1" x="41"/>
        <item t="data" sd="1" x="42"/>
        <item t="data" sd="1" x="43"/>
        <item t="data" sd="1" x="44"/>
        <item t="data" sd="1" x="26"/>
        <item t="data" sd="1" x="27"/>
        <item t="data" sd="1" x="45"/>
        <item t="default" sd="1"/>
      </items>
    </pivotField>
    <pivotField axis="axisPage" showDropDowns="1" compact="1" outline="1" subtotalTop="1" dragToRow="1" dragToCol="1" multipleItemSelectionAllowed="1" dragToPage="1" dragToData="1" dragOff="1" showAll="0" topAutoShow="1" itemPageCount="10" sortType="manual" defaultSubtotal="1">
      <items count="6">
        <item t="data" h="1" sd="1" m="1" x="4"/>
        <item t="data" h="1" sd="1" x="3"/>
        <item t="data" h="1" sd="1" x="2"/>
        <item t="data" h="1" sd="1" x="1"/>
        <item t="data" sd="1" x="0"/>
        <item t="default" sd="1"/>
      </items>
    </pivotField>
  </pivotFields>
  <rowFields count="1">
    <field x="7"/>
  </rowFields>
  <rowItems count="29">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5"/>
    </i>
    <i t="data" r="0" i="0">
      <x v="44"/>
    </i>
    <i t="data" r="0" i="0">
      <x v="45"/>
    </i>
    <i t="grand" r="0" i="0">
      <x v="0"/>
    </i>
  </rowItems>
  <colItems count="1">
    <i t="data" r="0" i="0"/>
  </colItems>
  <pageFields count="1">
    <pageField fld="8" hier="-1"/>
  </pageFields>
  <dataFields count="1">
    <dataField name="Sum of Hours" fld="5" subtotal="sum"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Merge1" displayName="Merge1" ref="A1:AF40" tableType="queryTable" headerRowCount="1" totalsRowShown="0">
  <autoFilter ref="A1:AF40"/>
  <tableColumns count="32">
    <tableColumn id="1" uniqueName="1" name="Column1.id" queryTableFieldId="1"/>
    <tableColumn id="2" uniqueName="2" name="Column1.project.id" queryTableFieldId="2"/>
    <tableColumn id="3" uniqueName="3" name="Column1.project.name" queryTableFieldId="3"/>
    <tableColumn id="4" uniqueName="4" name="Column1.tracker.id" queryTableFieldId="4"/>
    <tableColumn id="5" uniqueName="5" name="Column1.tracker.name" queryTableFieldId="5"/>
    <tableColumn id="6" uniqueName="6" name="Column1.status.id" queryTableFieldId="6"/>
    <tableColumn id="7" uniqueName="7" name="Column1.status.name" queryTableFieldId="7"/>
    <tableColumn id="8" uniqueName="8" name="Column1.status.is_closed" queryTableFieldId="8"/>
    <tableColumn id="9" uniqueName="9" name="Column1.priority.id" queryTableFieldId="9"/>
    <tableColumn id="10" uniqueName="10" name="Column1.priority.name" queryTableFieldId="10"/>
    <tableColumn id="11" uniqueName="11" name="Column1.author.id" queryTableFieldId="11"/>
    <tableColumn id="12" uniqueName="12" name="Column1.author.name" queryTableFieldId="12"/>
    <tableColumn id="13" uniqueName="13" name="Column1.assigned_to.id" queryTableFieldId="13"/>
    <tableColumn id="14" uniqueName="14" name="Column1.assigned_to.name" queryTableFieldId="14"/>
    <tableColumn id="15" uniqueName="15" name="Column1.parent.id" queryTableFieldId="15"/>
    <tableColumn id="16" uniqueName="16" name="Column1.subject" queryTableFieldId="16"/>
    <tableColumn id="17" uniqueName="17" name="Column1.description" queryTableFieldId="17"/>
    <tableColumn id="18" uniqueName="18" name="Column1.start_date" queryTableFieldId="18" dataDxfId="27"/>
    <tableColumn id="19" uniqueName="19" name="Column1.due_date" queryTableFieldId="19" dataDxfId="26"/>
    <tableColumn id="20" uniqueName="20" name="Column1.done_ratio" queryTableFieldId="20"/>
    <tableColumn id="21" uniqueName="21" name="Column1.is_private" queryTableFieldId="21"/>
    <tableColumn id="22" uniqueName="22" name="Column1.estimated_hours" queryTableFieldId="22"/>
    <tableColumn id="23" uniqueName="23" name="Column1.total_estimated_hours" queryTableFieldId="23"/>
    <tableColumn id="24" uniqueName="24" name="Column1.spent_hours" queryTableFieldId="24"/>
    <tableColumn id="25" uniqueName="25" name="Column1.total_spent_hours" queryTableFieldId="25"/>
    <tableColumn id="26" uniqueName="26" name="Column1.custom_fields" queryTableFieldId="26"/>
    <tableColumn id="27" uniqueName="27" name="Column1.created_on" queryTableFieldId="27"/>
    <tableColumn id="28" uniqueName="28" name="Column1.closed_on" queryTableFieldId="28"/>
    <tableColumn id="29" uniqueName="29" name="issues_custom_fields.Column1.id" queryTableFieldId="29"/>
    <tableColumn id="31" uniqueName="31" name="SPRINT" queryTableFieldId="31"/>
    <tableColumn id="32" uniqueName="32" name="DE" queryTableFieldId="32" dataDxfId="29">
      <calculatedColumnFormula>Merge1[[#This Row],[Column1.estimated_hours]] * ( Merge1[[#This Row],[Column1.done_ratio]] / 100 )</calculatedColumnFormula>
    </tableColumn>
    <tableColumn id="30" uniqueName="30" name="BE" queryTableFieldId="33" dataDxfId="28">
      <calculatedColumnFormula>IF(Merge1[[#This Row],[Column1.spent_hours]]&gt;0, Merge1[[#This Row],[DE]]/Merge1[[#This Row],[Column1.spent_hours]], 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2" name="issues_custom_fields" displayName="issues_custom_fields" ref="A1:B40" tableType="queryTable" headerRowCount="1" totalsRowShown="0">
  <autoFilter ref="A1:B40"/>
  <tableColumns count="2">
    <tableColumn id="1" uniqueName="1" name="Column1.id" queryTableFieldId="1"/>
    <tableColumn id="2" uniqueName="2" name="Column1.custom_fields.sprint.value" queryTableFieldId="2"/>
  </tableColumns>
  <tableStyleInfo name="TableStyleMedium7" showFirstColumn="0" showLastColumn="0" showRowStripes="1" showColumnStripes="0"/>
</table>
</file>

<file path=xl/tables/table3.xml><?xml version="1.0" encoding="utf-8"?>
<table xmlns="http://schemas.openxmlformats.org/spreadsheetml/2006/main" id="3" name="issues" displayName="issues" ref="A1:AB40" tableType="queryTable" headerRowCount="1" totalsRowShown="0">
  <autoFilter ref="A1:AB40"/>
  <tableColumns count="28">
    <tableColumn id="1" uniqueName="1" name="Column1.id" queryTableFieldId="1"/>
    <tableColumn id="2" uniqueName="2" name="Column1.project.id" queryTableFieldId="2"/>
    <tableColumn id="3" uniqueName="3" name="Column1.project.name" queryTableFieldId="3"/>
    <tableColumn id="4" uniqueName="4" name="Column1.tracker.id" queryTableFieldId="4"/>
    <tableColumn id="5" uniqueName="5" name="Column1.tracker.name" queryTableFieldId="5"/>
    <tableColumn id="6" uniqueName="6" name="Column1.status.id" queryTableFieldId="6"/>
    <tableColumn id="7" uniqueName="7" name="Column1.status.name" queryTableFieldId="7"/>
    <tableColumn id="8" uniqueName="8" name="Column1.status.is_closed" queryTableFieldId="8"/>
    <tableColumn id="9" uniqueName="9" name="Column1.priority.id" queryTableFieldId="9"/>
    <tableColumn id="10" uniqueName="10" name="Column1.priority.name" queryTableFieldId="10"/>
    <tableColumn id="11" uniqueName="11" name="Column1.author.id" queryTableFieldId="11"/>
    <tableColumn id="12" uniqueName="12" name="Column1.author.name" queryTableFieldId="12"/>
    <tableColumn id="13" uniqueName="13" name="Column1.assigned_to.id" queryTableFieldId="13"/>
    <tableColumn id="14" uniqueName="14" name="Column1.assigned_to.name" queryTableFieldId="14"/>
    <tableColumn id="15" uniqueName="15" name="Column1.parent.id" queryTableFieldId="15"/>
    <tableColumn id="16" uniqueName="16" name="Column1.subject" queryTableFieldId="16"/>
    <tableColumn id="17" uniqueName="17" name="Column1.description" queryTableFieldId="17"/>
    <tableColumn id="18" uniqueName="18" name="Column1.start_date" queryTableFieldId="18"/>
    <tableColumn id="19" uniqueName="19" name="Column1.due_date" queryTableFieldId="19"/>
    <tableColumn id="20" uniqueName="20" name="Column1.done_ratio" queryTableFieldId="20"/>
    <tableColumn id="21" uniqueName="21" name="Column1.is_private" queryTableFieldId="21"/>
    <tableColumn id="22" uniqueName="22" name="Column1.estimated_hours" queryTableFieldId="22"/>
    <tableColumn id="23" uniqueName="23" name="Column1.total_estimated_hours" queryTableFieldId="23"/>
    <tableColumn id="24" uniqueName="24" name="Column1.spent_hours" queryTableFieldId="24"/>
    <tableColumn id="25" uniqueName="25" name="Column1.total_spent_hours" queryTableFieldId="25"/>
    <tableColumn id="26" uniqueName="26" name="Column1.custom_fields" queryTableFieldId="26"/>
    <tableColumn id="27" uniqueName="27" name="Column1.created_on" queryTableFieldId="27"/>
    <tableColumn id="28" uniqueName="28" name="Column1.closed_on" queryTableField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s>
</file>

<file path=xl/worksheets/_rels/sheet2.xml.rels><Relationships xmlns="http://schemas.openxmlformats.org/package/2006/relationships"><Relationship Type="http://schemas.openxmlformats.org/officeDocument/2006/relationships/pivotTable" Target="/xl/pivotTables/pivotTable5.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C50"/>
  <sheetViews>
    <sheetView tabSelected="1" workbookViewId="0">
      <selection activeCell="B22" sqref="B22"/>
    </sheetView>
  </sheetViews>
  <sheetFormatPr baseColWidth="8" defaultRowHeight="15"/>
  <cols>
    <col width="29.85546875" customWidth="1" style="17" min="1" max="1"/>
    <col width="32.28515625" bestFit="1" customWidth="1" style="17" min="2" max="2"/>
    <col width="15.42578125" bestFit="1" customWidth="1" style="17" min="3" max="3"/>
    <col width="10" bestFit="1" customWidth="1" style="17" min="4" max="4"/>
  </cols>
  <sheetData>
    <row r="1">
      <c r="A1" s="5" t="inlineStr">
        <is>
          <t>Estimated</t>
        </is>
      </c>
      <c r="B1" s="7" t="inlineStr">
        <is>
          <t>SPRINT</t>
        </is>
      </c>
      <c r="C1" s="8" t="inlineStr">
        <is>
          <t>FR3-SPRINT_1</t>
        </is>
      </c>
    </row>
    <row r="2">
      <c r="A2" s="19" t="n"/>
      <c r="B2" s="2" t="n"/>
      <c r="C2" s="3" t="n"/>
    </row>
    <row r="3">
      <c r="A3" s="19" t="n"/>
      <c r="B3" s="9" t="inlineStr">
        <is>
          <t>Sum of Column1.estimated_hours</t>
        </is>
      </c>
      <c r="C3" s="3" t="n"/>
    </row>
    <row r="4">
      <c r="A4" s="20" t="n"/>
      <c r="B4" s="18" t="n">
        <v>155.5</v>
      </c>
      <c r="C4" s="4" t="n"/>
    </row>
    <row r="6">
      <c r="A6" s="5" t="inlineStr">
        <is>
          <t>Actual</t>
        </is>
      </c>
      <c r="B6" s="7" t="inlineStr">
        <is>
          <t>SPRINT</t>
        </is>
      </c>
      <c r="C6" s="8" t="inlineStr">
        <is>
          <t>FR3-SPRINT_1</t>
        </is>
      </c>
    </row>
    <row r="7">
      <c r="A7" s="19" t="n"/>
      <c r="B7" s="2" t="n"/>
      <c r="C7" s="3" t="n"/>
    </row>
    <row r="8">
      <c r="A8" s="19" t="n"/>
      <c r="B8" s="9" t="inlineStr">
        <is>
          <t>Sum of Column1.spent_hours</t>
        </is>
      </c>
      <c r="C8" s="3" t="n"/>
    </row>
    <row r="9">
      <c r="A9" s="20" t="n"/>
      <c r="B9" s="18" t="n">
        <v>101</v>
      </c>
      <c r="C9" s="4" t="n"/>
    </row>
    <row r="11">
      <c r="A11" s="5" t="inlineStr">
        <is>
          <t>Erned Value</t>
        </is>
      </c>
      <c r="B11" s="7" t="inlineStr">
        <is>
          <t>SPRINT</t>
        </is>
      </c>
      <c r="C11" s="8" t="inlineStr">
        <is>
          <t>FR3-SPRINT_1</t>
        </is>
      </c>
    </row>
    <row r="12">
      <c r="A12" s="19" t="n"/>
      <c r="B12" s="2" t="n"/>
      <c r="C12" s="3" t="n"/>
    </row>
    <row r="13">
      <c r="A13" s="19" t="n"/>
      <c r="B13" s="9" t="inlineStr">
        <is>
          <t>Sum of DE</t>
        </is>
      </c>
      <c r="C13" s="3" t="n"/>
    </row>
    <row r="14">
      <c r="A14" s="20" t="n"/>
      <c r="B14" s="10" t="n">
        <v>43.15</v>
      </c>
      <c r="C14" s="4" t="n"/>
    </row>
    <row r="16">
      <c r="A16" s="5" t="inlineStr">
        <is>
          <t xml:space="preserve">Burn Efficiency </t>
        </is>
      </c>
      <c r="B16" s="6">
        <f>+GETPIVOTDATA("DE",$B$13)/GETPIVOTDATA("Column1.spent_hours",$B$8)</f>
        <v/>
      </c>
    </row>
    <row r="18">
      <c r="A18" s="21" t="n"/>
      <c r="B18" s="21" t="n"/>
      <c r="C18" s="21" t="n"/>
    </row>
    <row r="19">
      <c r="A19" s="12" t="n"/>
      <c r="B19" s="13" t="n"/>
    </row>
    <row r="21">
      <c r="A21" s="12" t="n"/>
    </row>
    <row r="22">
      <c r="A22" s="13" t="n"/>
    </row>
    <row r="23">
      <c r="A23" s="13" t="n"/>
    </row>
    <row r="24">
      <c r="A24" s="13" t="n"/>
    </row>
    <row r="25">
      <c r="A25" s="13" t="n"/>
    </row>
    <row r="26">
      <c r="A26" s="13" t="n"/>
    </row>
    <row r="27">
      <c r="A27" s="13" t="n"/>
    </row>
    <row r="28">
      <c r="A28" s="13" t="n">
        <v>38</v>
      </c>
      <c r="B28" t="n">
        <v>22.75</v>
      </c>
    </row>
    <row r="29">
      <c r="A29" s="13" t="n">
        <v>37</v>
      </c>
      <c r="B29" t="n">
        <v>6.25</v>
      </c>
    </row>
    <row r="30">
      <c r="A30" s="13" t="n">
        <v>36</v>
      </c>
      <c r="B30" t="n">
        <v>5.5</v>
      </c>
    </row>
    <row r="31">
      <c r="A31" s="13" t="n">
        <v>35</v>
      </c>
      <c r="B31" t="n">
        <v>12</v>
      </c>
    </row>
    <row r="32">
      <c r="A32" s="13" t="n">
        <v>34</v>
      </c>
      <c r="B32" t="n">
        <v>7.5</v>
      </c>
    </row>
    <row r="33">
      <c r="A33" s="13" t="n">
        <v>33</v>
      </c>
      <c r="B33" t="n">
        <v>7.5</v>
      </c>
    </row>
    <row r="34">
      <c r="A34" s="13" t="n">
        <v>32</v>
      </c>
      <c r="B34" t="n">
        <v>10.5</v>
      </c>
    </row>
    <row r="35">
      <c r="A35" s="13" t="n">
        <v>30</v>
      </c>
      <c r="B35" t="n">
        <v>25</v>
      </c>
    </row>
    <row r="36">
      <c r="A36" s="13" t="n">
        <v>29</v>
      </c>
      <c r="B36" t="n">
        <v>15.75</v>
      </c>
    </row>
    <row r="37">
      <c r="A37" s="13" t="n">
        <v>28</v>
      </c>
      <c r="B37" t="n">
        <v>4</v>
      </c>
    </row>
    <row r="38">
      <c r="A38" s="13" t="n">
        <v>27</v>
      </c>
      <c r="B38" t="n">
        <v>1.25</v>
      </c>
    </row>
    <row r="39">
      <c r="A39" s="13" t="n">
        <v>26</v>
      </c>
      <c r="B39" t="n">
        <v>9.5</v>
      </c>
    </row>
    <row r="40">
      <c r="A40" s="13" t="n">
        <v>25</v>
      </c>
      <c r="B40" t="n">
        <v>6.25</v>
      </c>
    </row>
    <row r="41">
      <c r="A41" s="13" t="n">
        <v>24</v>
      </c>
      <c r="B41" t="n">
        <v>6.25</v>
      </c>
    </row>
    <row r="42">
      <c r="A42" s="13" t="n">
        <v>23</v>
      </c>
      <c r="B42" t="n">
        <v>2.5</v>
      </c>
    </row>
    <row r="43">
      <c r="A43" s="13" t="n">
        <v>22</v>
      </c>
      <c r="B43" t="n">
        <v>0.25</v>
      </c>
    </row>
    <row r="44">
      <c r="A44" s="13" t="n">
        <v>21</v>
      </c>
      <c r="B44" t="n">
        <v>2.75</v>
      </c>
    </row>
    <row r="45">
      <c r="A45" s="13" t="n">
        <v>19</v>
      </c>
      <c r="B45" t="n">
        <v>1</v>
      </c>
    </row>
    <row r="46">
      <c r="A46" s="13" t="n">
        <v>18</v>
      </c>
      <c r="B46" t="n">
        <v>1.25</v>
      </c>
    </row>
    <row r="47">
      <c r="A47" s="13" t="n">
        <v>15</v>
      </c>
      <c r="B47" t="n">
        <v>1</v>
      </c>
    </row>
    <row r="48">
      <c r="A48" s="13" t="n">
        <v>4</v>
      </c>
      <c r="B48" t="n">
        <v>2.75</v>
      </c>
    </row>
    <row r="49">
      <c r="A49" s="13" t="n">
        <v>3</v>
      </c>
      <c r="B49" t="n">
        <v>0.5</v>
      </c>
    </row>
    <row r="50">
      <c r="A50" s="13" t="inlineStr">
        <is>
          <t>Grand Total</t>
        </is>
      </c>
      <c r="B50" t="n">
        <v>260.5</v>
      </c>
    </row>
  </sheetData>
  <mergeCells count="3">
    <mergeCell ref="A11:A14"/>
    <mergeCell ref="A6:A9"/>
    <mergeCell ref="A1:A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B32"/>
    </sheetView>
  </sheetViews>
  <sheetFormatPr baseColWidth="8" defaultRowHeight="15"/>
  <cols>
    <col width="13.42578125" bestFit="1" customWidth="1" style="17" min="1" max="1"/>
    <col width="13.28515625" bestFit="1" customWidth="1" style="17" min="2" max="2"/>
  </cols>
  <sheetData>
    <row r="1">
      <c r="A1" s="12" t="inlineStr">
        <is>
          <t>Year</t>
        </is>
      </c>
      <c r="B1" s="13" t="n">
        <v>2025</v>
      </c>
    </row>
    <row r="3">
      <c r="A3" s="12" t="inlineStr">
        <is>
          <t>Row Labels</t>
        </is>
      </c>
      <c r="B3" t="inlineStr">
        <is>
          <t>Sum of Hours</t>
        </is>
      </c>
    </row>
    <row r="4">
      <c r="A4" s="13" t="n">
        <v>44</v>
      </c>
      <c r="B4" t="n">
        <v>33.5</v>
      </c>
    </row>
    <row r="5">
      <c r="A5" s="13" t="n">
        <v>43</v>
      </c>
      <c r="B5" t="n">
        <v>20</v>
      </c>
    </row>
    <row r="6">
      <c r="A6" s="13" t="n">
        <v>42</v>
      </c>
      <c r="B6" t="n">
        <v>28.25</v>
      </c>
    </row>
    <row r="7">
      <c r="A7" s="13" t="n">
        <v>41</v>
      </c>
      <c r="B7" t="n">
        <v>7.25</v>
      </c>
    </row>
    <row r="8">
      <c r="A8" s="13" t="n">
        <v>40</v>
      </c>
      <c r="B8" t="n">
        <v>8.25</v>
      </c>
    </row>
    <row r="9">
      <c r="A9" s="13" t="n">
        <v>39</v>
      </c>
      <c r="B9" t="n">
        <v>11.25</v>
      </c>
    </row>
    <row r="10">
      <c r="A10" s="13" t="n">
        <v>38</v>
      </c>
      <c r="B10" t="n">
        <v>22.75</v>
      </c>
    </row>
    <row r="11">
      <c r="A11" s="13" t="n">
        <v>37</v>
      </c>
      <c r="B11" t="n">
        <v>6.25</v>
      </c>
    </row>
    <row r="12">
      <c r="A12" s="13" t="n">
        <v>36</v>
      </c>
      <c r="B12" t="n">
        <v>5.5</v>
      </c>
    </row>
    <row r="13">
      <c r="A13" s="13" t="n">
        <v>35</v>
      </c>
      <c r="B13" t="n">
        <v>12</v>
      </c>
    </row>
    <row r="14">
      <c r="A14" s="13" t="n">
        <v>34</v>
      </c>
      <c r="B14" t="n">
        <v>7.5</v>
      </c>
    </row>
    <row r="15">
      <c r="A15" s="13" t="n">
        <v>33</v>
      </c>
      <c r="B15" t="n">
        <v>7.5</v>
      </c>
    </row>
    <row r="16">
      <c r="A16" s="13" t="n">
        <v>32</v>
      </c>
      <c r="B16" t="n">
        <v>10.5</v>
      </c>
    </row>
    <row r="17">
      <c r="A17" s="13" t="n">
        <v>30</v>
      </c>
      <c r="B17" t="n">
        <v>25</v>
      </c>
    </row>
    <row r="18">
      <c r="A18" s="13" t="n">
        <v>29</v>
      </c>
      <c r="B18" t="n">
        <v>15.75</v>
      </c>
    </row>
    <row r="19">
      <c r="A19" s="13" t="n">
        <v>28</v>
      </c>
      <c r="B19" t="n">
        <v>4</v>
      </c>
    </row>
    <row r="20">
      <c r="A20" s="13" t="n">
        <v>27</v>
      </c>
      <c r="B20" t="n">
        <v>1.25</v>
      </c>
    </row>
    <row r="21">
      <c r="A21" s="13" t="n">
        <v>26</v>
      </c>
      <c r="B21" t="n">
        <v>9.5</v>
      </c>
    </row>
    <row r="22">
      <c r="A22" s="13" t="n">
        <v>25</v>
      </c>
      <c r="B22" t="n">
        <v>6.25</v>
      </c>
    </row>
    <row r="23">
      <c r="A23" s="13" t="n">
        <v>24</v>
      </c>
      <c r="B23" t="n">
        <v>6.25</v>
      </c>
    </row>
    <row r="24">
      <c r="A24" s="13" t="n">
        <v>23</v>
      </c>
      <c r="B24" t="n">
        <v>2.5</v>
      </c>
    </row>
    <row r="25">
      <c r="A25" s="13" t="n">
        <v>22</v>
      </c>
      <c r="B25" t="n">
        <v>0.25</v>
      </c>
    </row>
    <row r="26">
      <c r="A26" s="13" t="n">
        <v>21</v>
      </c>
      <c r="B26" t="n">
        <v>2.75</v>
      </c>
    </row>
    <row r="27">
      <c r="A27" s="13" t="n">
        <v>19</v>
      </c>
      <c r="B27" t="n">
        <v>1</v>
      </c>
    </row>
    <row r="28">
      <c r="A28" s="13" t="n">
        <v>18</v>
      </c>
      <c r="B28" t="n">
        <v>1.25</v>
      </c>
    </row>
    <row r="29">
      <c r="A29" s="13" t="n">
        <v>15</v>
      </c>
      <c r="B29" t="n">
        <v>1</v>
      </c>
    </row>
    <row r="30">
      <c r="A30" s="13" t="n">
        <v>4</v>
      </c>
      <c r="B30" t="n">
        <v>2.75</v>
      </c>
    </row>
    <row r="31">
      <c r="A31" s="13" t="n">
        <v>3</v>
      </c>
      <c r="B31" t="n">
        <v>0.5</v>
      </c>
    </row>
    <row r="32">
      <c r="A32" s="13" t="inlineStr">
        <is>
          <t>Grand Total</t>
        </is>
      </c>
      <c r="B32" t="n">
        <v>260.5</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659"/>
  <sheetViews>
    <sheetView topLeftCell="A572" workbookViewId="0">
      <selection activeCell="H640" sqref="H640:I659"/>
    </sheetView>
  </sheetViews>
  <sheetFormatPr baseColWidth="8" defaultRowHeight="15"/>
  <cols>
    <col width="10.42578125" bestFit="1" customWidth="1" style="17" min="1" max="1"/>
  </cols>
  <sheetData>
    <row r="1">
      <c r="A1" t="inlineStr">
        <is>
          <t>Date</t>
        </is>
      </c>
      <c r="B1" t="inlineStr">
        <is>
          <t>User</t>
        </is>
      </c>
      <c r="C1" t="inlineStr">
        <is>
          <t>Activity</t>
        </is>
      </c>
      <c r="D1" t="inlineStr">
        <is>
          <t>Issue</t>
        </is>
      </c>
      <c r="E1" t="inlineStr">
        <is>
          <t>Comment</t>
        </is>
      </c>
      <c r="F1" t="inlineStr">
        <is>
          <t>Hours</t>
        </is>
      </c>
      <c r="G1" t="inlineStr">
        <is>
          <t>Chargeable</t>
        </is>
      </c>
      <c r="H1" t="inlineStr">
        <is>
          <t xml:space="preserve">Week </t>
        </is>
      </c>
      <c r="I1" t="inlineStr">
        <is>
          <t>Year</t>
        </is>
      </c>
    </row>
    <row r="2">
      <c r="A2" s="1" t="n">
        <v>45961</v>
      </c>
      <c r="B2" t="inlineStr">
        <is>
          <t>VilMat</t>
        </is>
      </c>
      <c r="C2" t="inlineStr">
        <is>
          <t>Consultant</t>
        </is>
      </c>
      <c r="D2" t="inlineStr">
        <is>
          <t>Feature #99741: FR3-SPRINT_1-013 - Email Messages &gt; Laiško peržiūros statuso laukelio kūrimas, Flow kūrimas, Timeline Email card modifikavimas,  Pranešimų siuntimas eilėje nurodytai komandai.</t>
        </is>
      </c>
      <c r="E2" t="inlineStr">
        <is>
          <t>Modifikacijos email, queue, queue items moduliuose - rodiniai, formos, business rules</t>
        </is>
      </c>
      <c r="F2" t="n">
        <v>1.5</v>
      </c>
      <c r="G2" t="inlineStr">
        <is>
          <t>Yes</t>
        </is>
      </c>
      <c r="H2">
        <f>+WEEKNUM(A2)</f>
        <v/>
      </c>
      <c r="I2">
        <f>+YEAR(A2)</f>
        <v/>
      </c>
    </row>
    <row r="3">
      <c r="A3" s="1" t="n">
        <v>45961</v>
      </c>
      <c r="B3" t="inlineStr">
        <is>
          <t>VilMat</t>
        </is>
      </c>
      <c r="C3" t="inlineStr">
        <is>
          <t>Consultant</t>
        </is>
      </c>
      <c r="D3" t="inlineStr">
        <is>
          <t>Feature #99741: FR3-SPRINT_1-013 - Email Messages &gt; Laiško peržiūros statuso laukelio kūrimas, Flow kūrimas, Timeline Email card modifikavimas,  Pranešimų siuntimas eilėje nurodytai komandai.</t>
        </is>
      </c>
      <c r="E3" t="inlineStr">
        <is>
          <t>Funkcijų testavimai</t>
        </is>
      </c>
      <c r="F3" t="n">
        <v>1</v>
      </c>
      <c r="G3" t="inlineStr">
        <is>
          <t>Yes</t>
        </is>
      </c>
      <c r="H3">
        <f>+WEEKNUM(A3)</f>
        <v/>
      </c>
      <c r="I3">
        <f>+YEAR(A3)</f>
        <v/>
      </c>
    </row>
    <row r="4">
      <c r="A4" s="1" t="n">
        <v>45961</v>
      </c>
      <c r="B4" t="inlineStr">
        <is>
          <t>VilMat</t>
        </is>
      </c>
      <c r="C4" t="inlineStr">
        <is>
          <t>Consultant</t>
        </is>
      </c>
      <c r="D4" t="inlineStr">
        <is>
          <t>Feature #99743: FR3-SPRINT_1-015 - Queue/Queue Items &gt; Naujo modulio fiksuoti eilių konvertavimą kūrimas</t>
        </is>
      </c>
      <c r="E4" t="inlineStr">
        <is>
          <t>Rodinių kūrimas, Queue Items formos modifikacijos, Queue Item History modulio laukų perkūrimas</t>
        </is>
      </c>
      <c r="F4" t="n">
        <v>2</v>
      </c>
      <c r="G4" t="inlineStr">
        <is>
          <t>Yes</t>
        </is>
      </c>
      <c r="H4">
        <f>+WEEKNUM(A4)</f>
        <v/>
      </c>
      <c r="I4">
        <f>+YEAR(A4)</f>
        <v/>
      </c>
    </row>
    <row r="5">
      <c r="A5" s="1" t="n">
        <v>45961</v>
      </c>
      <c r="B5" t="inlineStr">
        <is>
          <t>GabKoj</t>
        </is>
      </c>
      <c r="C5" t="inlineStr">
        <is>
          <t>Developer</t>
        </is>
      </c>
      <c r="D5" t="inlineStr">
        <is>
          <t>Feature #99741: FR3-SPRINT_1-013 - Email Messages &gt; Laiško peržiūros statuso laukelio kūrimas, Flow kūrimas, Timeline Email card modifikavimas,  Pranešimų siuntimas eilėje nurodytai komandai.</t>
        </is>
      </c>
      <c r="E5" t="inlineStr">
        <is>
          <t>in app notification flow creating, call with Vilintas</t>
        </is>
      </c>
      <c r="F5" t="n">
        <v>1.25</v>
      </c>
      <c r="G5" t="inlineStr">
        <is>
          <t>Yes</t>
        </is>
      </c>
      <c r="H5">
        <f>+WEEKNUM(A5)</f>
        <v/>
      </c>
      <c r="I5">
        <f>+YEAR(A5)</f>
        <v/>
      </c>
    </row>
    <row r="6">
      <c r="A6" s="1" t="n">
        <v>45960</v>
      </c>
      <c r="B6" t="inlineStr">
        <is>
          <t>VilMat</t>
        </is>
      </c>
      <c r="C6" t="inlineStr">
        <is>
          <t>Consultant</t>
        </is>
      </c>
      <c r="D6" t="inlineStr">
        <is>
          <t>Feature #99740: FR3-SPRINT_1-012 - Queue/Queue Items &gt; Eilių rodinių modifikacijos, laukų vertimai</t>
        </is>
      </c>
      <c r="E6" t="inlineStr">
        <is>
          <t>Eilių rodinių korekcijos(part)</t>
        </is>
      </c>
      <c r="F6" t="n">
        <v>1.5</v>
      </c>
      <c r="G6" t="inlineStr">
        <is>
          <t>Yes</t>
        </is>
      </c>
      <c r="H6">
        <f>+WEEKNUM(A6)</f>
        <v/>
      </c>
      <c r="I6">
        <f>+YEAR(A6)</f>
        <v/>
      </c>
    </row>
    <row r="7">
      <c r="A7" s="1" t="n">
        <v>45960</v>
      </c>
      <c r="B7" t="inlineStr">
        <is>
          <t>VilMat</t>
        </is>
      </c>
      <c r="C7" t="inlineStr">
        <is>
          <t>Consultant</t>
        </is>
      </c>
      <c r="D7" t="inlineStr">
        <is>
          <t>Feature #99744: FR3-SPRINT_1-016 - Queue/Queue Items &gt; Convert To Case - Kontakto pagal klientą užpildymas ir pernešimas į sukuriamą užklausos įrašą</t>
        </is>
      </c>
      <c r="E7" t="inlineStr">
        <is>
          <t>Užduoties techninio išpildymo specifikacijos aprašymas</t>
        </is>
      </c>
      <c r="F7" t="n">
        <v>1</v>
      </c>
      <c r="G7" t="inlineStr">
        <is>
          <t>Yes</t>
        </is>
      </c>
      <c r="H7">
        <f>+WEEKNUM(A7)</f>
        <v/>
      </c>
      <c r="I7">
        <f>+YEAR(A7)</f>
        <v/>
      </c>
    </row>
    <row r="8">
      <c r="A8" s="1" t="n">
        <v>45960</v>
      </c>
      <c r="B8" t="inlineStr">
        <is>
          <t>VilMat</t>
        </is>
      </c>
      <c r="C8" t="inlineStr">
        <is>
          <t>Consultant</t>
        </is>
      </c>
      <c r="D8" t="inlineStr">
        <is>
          <t>Feature #99745: FR3-SPRINT_1-017 - Queue/Queue Items &gt; Convert To Case - Account suradimas ir užpildymas į lookup laukelį</t>
        </is>
      </c>
      <c r="E8" t="inlineStr">
        <is>
          <t>Užduoties techninio išpildymo specifikacijos aprašymas</t>
        </is>
      </c>
      <c r="F8" t="n">
        <v>0.75</v>
      </c>
      <c r="G8" t="inlineStr">
        <is>
          <t>Yes</t>
        </is>
      </c>
      <c r="H8">
        <f>+WEEKNUM(A8)</f>
        <v/>
      </c>
      <c r="I8">
        <f>+YEAR(A8)</f>
        <v/>
      </c>
    </row>
    <row r="9">
      <c r="A9" s="1" t="n">
        <v>45960</v>
      </c>
      <c r="B9" t="inlineStr">
        <is>
          <t>VilMat</t>
        </is>
      </c>
      <c r="C9" t="inlineStr">
        <is>
          <t>Consultant</t>
        </is>
      </c>
      <c r="D9" t="inlineStr">
        <is>
          <t>Feature #99741: FR3-SPRINT_1-013 - Email Messages &gt; Laiško peržiūros statuso laukelio kūrimas, Flow kūrimas, Timeline Email card modifikavimas,  Pranešimų siuntimas eilėje nurodytai komandai.</t>
        </is>
      </c>
      <c r="E9" t="inlineStr">
        <is>
          <t>Funkcijos technologinio įgyvendinimo pasitarimas su programuotoju</t>
        </is>
      </c>
      <c r="F9" t="n">
        <v>0.5</v>
      </c>
      <c r="G9" t="inlineStr">
        <is>
          <t>Yes</t>
        </is>
      </c>
      <c r="H9">
        <f>+WEEKNUM(A9)</f>
        <v/>
      </c>
      <c r="I9">
        <f>+YEAR(A9)</f>
        <v/>
      </c>
    </row>
    <row r="10">
      <c r="A10" s="1" t="n">
        <v>45960</v>
      </c>
      <c r="B10" t="inlineStr">
        <is>
          <t>GabKoj</t>
        </is>
      </c>
      <c r="C10" t="inlineStr">
        <is>
          <t>Developer</t>
        </is>
      </c>
      <c r="D10" t="inlineStr">
        <is>
          <t>Feature #99741: FR3-SPRINT_1-013 - Email Messages &gt; Laiško peržiūros statuso laukelio kūrimas, Flow kūrimas, Timeline Email card modifikavimas,  Pranešimų siuntimas eilėje nurodytai komandai.</t>
        </is>
      </c>
      <c r="E10" t="inlineStr">
        <is>
          <t>dev, call with Vilintas, Marius</t>
        </is>
      </c>
      <c r="F10" t="n">
        <v>5.5</v>
      </c>
      <c r="G10" t="inlineStr">
        <is>
          <t>Yes</t>
        </is>
      </c>
      <c r="H10">
        <f>+WEEKNUM(A10)</f>
        <v/>
      </c>
      <c r="I10">
        <f>+YEAR(A10)</f>
        <v/>
      </c>
    </row>
    <row r="11">
      <c r="A11" s="1" t="n">
        <v>45960</v>
      </c>
      <c r="B11" t="inlineStr">
        <is>
          <t>GabKoj</t>
        </is>
      </c>
      <c r="C11" t="inlineStr">
        <is>
          <t>Developer</t>
        </is>
      </c>
      <c r="D11" t="inlineStr">
        <is>
          <t>Feature #99742: FR3-SPRINT_1-014 - Queue/Queue Items &gt; Convert To Case - Konvertavimo lango laukų atvaizdavimo ir eilių įrašų paleidimo iš eilės modifikacijos</t>
        </is>
      </c>
      <c r="E11" t="inlineStr">
        <is>
          <t>dev, testing, cleaning up code</t>
        </is>
      </c>
      <c r="F11" t="n">
        <v>1</v>
      </c>
      <c r="G11" t="inlineStr">
        <is>
          <t>Yes</t>
        </is>
      </c>
      <c r="H11">
        <f>+WEEKNUM(A11)</f>
        <v/>
      </c>
      <c r="I11">
        <f>+YEAR(A11)</f>
        <v/>
      </c>
    </row>
    <row r="12">
      <c r="A12" s="1" t="n">
        <v>45959</v>
      </c>
      <c r="B12" t="inlineStr">
        <is>
          <t>VilMat</t>
        </is>
      </c>
      <c r="C12" t="inlineStr">
        <is>
          <t>Consultant</t>
        </is>
      </c>
      <c r="D12" t="inlineStr">
        <is>
          <t>Feature #99716: FR3-SPRINT_1-007 - Case &gt; Verslo proceso juostos modifikacijos pridedant naujus laukus, Case formos modifikacijos</t>
        </is>
      </c>
      <c r="E12" t="inlineStr">
        <is>
          <t>Naujų laukų kūrimas ir talpinimas į BPF (part)</t>
        </is>
      </c>
      <c r="F12" t="n">
        <v>2.5</v>
      </c>
      <c r="G12" t="inlineStr">
        <is>
          <t>Yes</t>
        </is>
      </c>
      <c r="H12">
        <f>+WEEKNUM(A12)</f>
        <v/>
      </c>
      <c r="I12">
        <f>+YEAR(A12)</f>
        <v/>
      </c>
    </row>
    <row r="13">
      <c r="A13" s="1" t="n">
        <v>45959</v>
      </c>
      <c r="B13" t="inlineStr">
        <is>
          <t>VilMat</t>
        </is>
      </c>
      <c r="C13" t="inlineStr">
        <is>
          <t>Consultant</t>
        </is>
      </c>
      <c r="D13" t="inlineStr">
        <is>
          <t>Feature #99743: FR3-SPRINT_1-015 - Queue/Queue Items &gt; Naujo modulio fiksuoti eilių konvertavimą kūrimas</t>
        </is>
      </c>
      <c r="E13" t="inlineStr">
        <is>
          <t>Užduoties techninio išpildymo specifikacijos aprašymas</t>
        </is>
      </c>
      <c r="F13" t="n">
        <v>1.5</v>
      </c>
      <c r="G13" t="inlineStr">
        <is>
          <t>Yes</t>
        </is>
      </c>
      <c r="H13">
        <f>+WEEKNUM(A13)</f>
        <v/>
      </c>
      <c r="I13">
        <f>+YEAR(A13)</f>
        <v/>
      </c>
    </row>
    <row r="14">
      <c r="A14" s="1" t="n">
        <v>45959</v>
      </c>
      <c r="B14" t="inlineStr">
        <is>
          <t>VilMat</t>
        </is>
      </c>
      <c r="C14" t="inlineStr">
        <is>
          <t>Consultant</t>
        </is>
      </c>
      <c r="D14" t="inlineStr">
        <is>
          <t>Feature #99742: FR3-SPRINT_1-014 - Queue/Queue Items &gt; Convert To Case - Konvertavimo lango laukų atvaizdavimo ir eilių įrašų paleidimo iš eilės modifikacijos</t>
        </is>
      </c>
      <c r="E14" t="inlineStr">
        <is>
          <t>Užduoties techninio išpildymo specifikacijos aprašymas</t>
        </is>
      </c>
      <c r="F14" t="n">
        <v>0.5</v>
      </c>
      <c r="G14" t="inlineStr">
        <is>
          <t>Yes</t>
        </is>
      </c>
      <c r="H14">
        <f>+WEEKNUM(A14)</f>
        <v/>
      </c>
      <c r="I14">
        <f>+YEAR(A14)</f>
        <v/>
      </c>
    </row>
    <row r="15">
      <c r="A15" s="1" t="n">
        <v>45959</v>
      </c>
      <c r="B15" t="inlineStr">
        <is>
          <t>VilMat</t>
        </is>
      </c>
      <c r="C15" t="inlineStr">
        <is>
          <t>Consultant</t>
        </is>
      </c>
      <c r="D15" t="inlineStr">
        <is>
          <t>Feature #99741: FR3-SPRINT_1-013 - Email Messages &gt; Laiško peržiūros statuso laukelio kūrimas, Flow kūrimas, Timeline Email card modifikavimas,  Pranešimų siuntimas eilėje nurodytai komandai.</t>
        </is>
      </c>
      <c r="E15" t="inlineStr">
        <is>
          <t>Specifikacijos korekcijos ir papildymas</t>
        </is>
      </c>
      <c r="F15" t="n">
        <v>1</v>
      </c>
      <c r="G15" t="inlineStr">
        <is>
          <t>Yes</t>
        </is>
      </c>
      <c r="H15">
        <f>+WEEKNUM(A15)</f>
        <v/>
      </c>
      <c r="I15">
        <f>+YEAR(A15)</f>
        <v/>
      </c>
    </row>
    <row r="16">
      <c r="A16" s="1" t="n">
        <v>45958</v>
      </c>
      <c r="B16" t="inlineStr">
        <is>
          <t>GabKoj</t>
        </is>
      </c>
      <c r="C16" t="inlineStr">
        <is>
          <t>Developer</t>
        </is>
      </c>
      <c r="D16" t="inlineStr">
        <is>
          <t>Feature #99742: FR3-SPRINT_1-014 - Queue/Queue Items &gt; Convert To Case - Konvertavimo lango laukų atvaizdavimo ir eilių įrašų paleidimo iš eilės modifikacijos</t>
        </is>
      </c>
      <c r="E16" t="inlineStr">
        <is>
          <t>dev</t>
        </is>
      </c>
      <c r="F16" t="n">
        <v>2.5</v>
      </c>
      <c r="G16" t="inlineStr">
        <is>
          <t>Yes</t>
        </is>
      </c>
      <c r="H16">
        <f>+WEEKNUM(A16)</f>
        <v/>
      </c>
      <c r="I16">
        <f>+YEAR(A16)</f>
        <v/>
      </c>
    </row>
    <row r="17">
      <c r="A17" s="1" t="n">
        <v>45958</v>
      </c>
      <c r="B17" t="inlineStr">
        <is>
          <t>VilMat</t>
        </is>
      </c>
      <c r="C17" t="inlineStr">
        <is>
          <t>Consultant</t>
        </is>
      </c>
      <c r="D17" t="inlineStr">
        <is>
          <t>Feature #99735: FR3-SPRINT_1-008 - Case &gt; Stage Duration modulio korekcijos &gt; Paskaičiuotą laiką atvaizduoti minutėmis, sukurti išsprendimo laiko laukelį, rodinio korekcijos</t>
        </is>
      </c>
      <c r="E17" t="inlineStr">
        <is>
          <t>Laukelio sukūrimas ir formos dizaino keitimai</t>
        </is>
      </c>
      <c r="F17" t="n">
        <v>2</v>
      </c>
      <c r="G17" t="inlineStr">
        <is>
          <t>Yes</t>
        </is>
      </c>
      <c r="H17">
        <f>+WEEKNUM(A17)</f>
        <v/>
      </c>
      <c r="I17">
        <f>+YEAR(A17)</f>
        <v/>
      </c>
    </row>
    <row r="18">
      <c r="A18" s="1" t="n">
        <v>45958</v>
      </c>
      <c r="B18" t="inlineStr">
        <is>
          <t>VilMat</t>
        </is>
      </c>
      <c r="C18" t="inlineStr">
        <is>
          <t>Consultant</t>
        </is>
      </c>
      <c r="D18" t="inlineStr">
        <is>
          <t>Feature #99716: FR3-SPRINT_1-007 - Case &gt; Verslo proceso juostos modifikacijos pridedant naujus laukus, Case formos modifikacijos</t>
        </is>
      </c>
      <c r="E18" t="inlineStr">
        <is>
          <t>Modifikacijos case moduliui</t>
        </is>
      </c>
      <c r="F18" t="n">
        <v>3.5</v>
      </c>
      <c r="G18" t="inlineStr">
        <is>
          <t>Yes</t>
        </is>
      </c>
      <c r="H18">
        <f>+WEEKNUM(A18)</f>
        <v/>
      </c>
      <c r="I18">
        <f>+YEAR(A18)</f>
        <v/>
      </c>
    </row>
    <row r="19">
      <c r="A19" s="1" t="n">
        <v>45957</v>
      </c>
      <c r="B19" t="inlineStr">
        <is>
          <t>VilMat</t>
        </is>
      </c>
      <c r="C19" t="inlineStr">
        <is>
          <t>Consultant</t>
        </is>
      </c>
      <c r="D19" t="inlineStr">
        <is>
          <t>Feature #99743: FR3-SPRINT_1-015 - Queue/Queue Items &gt; Naujo modulio fiksuoti eilių konvertavimą kūrimas</t>
        </is>
      </c>
      <c r="E19" t="inlineStr">
        <is>
          <t>Naujo modulio kūrimas, laukų kūrimas, formų kūrimas</t>
        </is>
      </c>
      <c r="F19" t="n">
        <v>2.5</v>
      </c>
      <c r="G19" t="inlineStr">
        <is>
          <t>Yes</t>
        </is>
      </c>
      <c r="H19">
        <f>+WEEKNUM(A19)</f>
        <v/>
      </c>
      <c r="I19">
        <f>+YEAR(A19)</f>
        <v/>
      </c>
    </row>
    <row r="20">
      <c r="A20" s="1" t="n">
        <v>45957</v>
      </c>
      <c r="B20" t="inlineStr">
        <is>
          <t>VilMat</t>
        </is>
      </c>
      <c r="C20" t="inlineStr">
        <is>
          <t>Consultant</t>
        </is>
      </c>
      <c r="D20" t="inlineStr">
        <is>
          <t>Feature #99736: FR3-SPRINT_1-009 - Case &gt; Užklausos main formos vizualinio atvaizdavimo modifikacijos, naujo rodinio kūrimas</t>
        </is>
      </c>
      <c r="E20" t="inlineStr">
        <is>
          <t>Case modulio main formos korekcijos</t>
        </is>
      </c>
      <c r="F20" t="n">
        <v>1.5</v>
      </c>
      <c r="G20" t="inlineStr">
        <is>
          <t>Yes</t>
        </is>
      </c>
      <c r="H20">
        <f>+WEEKNUM(A20)</f>
        <v/>
      </c>
      <c r="I20">
        <f>+YEAR(A20)</f>
        <v/>
      </c>
    </row>
    <row r="21">
      <c r="A21" s="1" t="n">
        <v>45954</v>
      </c>
      <c r="B21" t="inlineStr">
        <is>
          <t>VilMat</t>
        </is>
      </c>
      <c r="C21" t="inlineStr">
        <is>
          <t>Consultant</t>
        </is>
      </c>
      <c r="D21" t="inlineStr">
        <is>
          <t>Feature #99740: FR3-SPRINT_1-012 - Queue/Queue Items &gt; Eilių rodinių modifikacijos, laukų vertimai</t>
        </is>
      </c>
      <c r="E21" t="inlineStr">
        <is>
          <t>Eilių rodinių korekcijos(part)</t>
        </is>
      </c>
      <c r="F21" t="n">
        <v>1.5</v>
      </c>
      <c r="G21" t="inlineStr">
        <is>
          <t>Yes</t>
        </is>
      </c>
      <c r="H21">
        <f>+WEEKNUM(A21)</f>
        <v/>
      </c>
      <c r="I21">
        <f>+YEAR(A21)</f>
        <v/>
      </c>
    </row>
    <row r="22">
      <c r="A22" s="1" t="n">
        <v>45954</v>
      </c>
      <c r="B22" t="inlineStr">
        <is>
          <t>VilMat</t>
        </is>
      </c>
      <c r="C22" t="inlineStr">
        <is>
          <t>Consultant</t>
        </is>
      </c>
      <c r="D22" t="inlineStr">
        <is>
          <t>Feature #99741: FR3-SPRINT_1-013 - Email Messages &gt; Laiško peržiūros statuso laukelio kūrimas, Flow kūrimas, Timeline Email card modifikavimas,  Pranešimų siuntimas eilėje nurodytai komandai.</t>
        </is>
      </c>
      <c r="E22" t="inlineStr">
        <is>
          <t>Užduoties specifikavimas</t>
        </is>
      </c>
      <c r="F22" t="n">
        <v>0.75</v>
      </c>
      <c r="G22" t="inlineStr">
        <is>
          <t>Yes</t>
        </is>
      </c>
      <c r="H22">
        <f>+WEEKNUM(A22)</f>
        <v/>
      </c>
      <c r="I22">
        <f>+YEAR(A22)</f>
        <v/>
      </c>
    </row>
    <row r="23">
      <c r="A23" s="1" t="n">
        <v>45953</v>
      </c>
      <c r="B23" t="inlineStr">
        <is>
          <t>VilMat</t>
        </is>
      </c>
      <c r="C23" t="inlineStr">
        <is>
          <t>Consultant</t>
        </is>
      </c>
      <c r="D23" t="inlineStr">
        <is>
          <t>Feature #99744: FR3-SPRINT_1-016 - Queue/Queue Items &gt; Convert To Case - Kontakto pagal klientą užpildymas ir pernešimas į sukuriamą užklausos įrašą</t>
        </is>
      </c>
      <c r="E23" t="inlineStr">
        <is>
          <t>Email modulio korekcijos, Timeline email kortelės modifikacijos (part)</t>
        </is>
      </c>
      <c r="F23" t="n">
        <v>1.25</v>
      </c>
      <c r="G23" t="inlineStr">
        <is>
          <t>Yes</t>
        </is>
      </c>
      <c r="H23">
        <f>+WEEKNUM(A23)</f>
        <v/>
      </c>
      <c r="I23">
        <f>+YEAR(A23)</f>
        <v/>
      </c>
    </row>
    <row r="24">
      <c r="A24" s="1" t="n">
        <v>45953</v>
      </c>
      <c r="B24" t="inlineStr">
        <is>
          <t>VilMat</t>
        </is>
      </c>
      <c r="C24" t="inlineStr">
        <is>
          <t>Consultant</t>
        </is>
      </c>
      <c r="D24" t="inlineStr">
        <is>
          <t>Feature #99741: FR3-SPRINT_1-013 - Email Messages &gt; Laiško peržiūros statuso laukelio kūrimas, Flow kūrimas, Timeline Email card modifikavimas,  Pranešimų siuntimas eilėje nurodytai komandai.</t>
        </is>
      </c>
      <c r="E24" t="inlineStr">
        <is>
          <t>Susitikimų video medžiagos peržiūrėjimas užsakymo punkto apimtyje ir esminių sutartų modifikacijų užfiksavimas bei perteikimas į užduotį</t>
        </is>
      </c>
      <c r="F24" t="n">
        <v>1.5</v>
      </c>
      <c r="G24" t="inlineStr">
        <is>
          <t>Yes</t>
        </is>
      </c>
      <c r="H24">
        <f>+WEEKNUM(A24)</f>
        <v/>
      </c>
      <c r="I24">
        <f>+YEAR(A24)</f>
        <v/>
      </c>
    </row>
    <row r="25">
      <c r="A25" s="1" t="n">
        <v>45952</v>
      </c>
      <c r="B25" t="inlineStr">
        <is>
          <t>VilMat</t>
        </is>
      </c>
      <c r="C25" t="inlineStr">
        <is>
          <t>Consultant</t>
        </is>
      </c>
      <c r="D25" t="inlineStr">
        <is>
          <t>Feature #99742: FR3-SPRINT_1-014 - Queue/Queue Items &gt; Convert To Case - Konvertavimo lango laukų atvaizdavimo ir eilių įrašų paleidimo iš eilės modifikacijos</t>
        </is>
      </c>
      <c r="E25" t="inlineStr">
        <is>
          <t>Modulio ir susijusių komponentų kūrimas (part)</t>
        </is>
      </c>
      <c r="F25" t="n">
        <v>2.5</v>
      </c>
      <c r="G25" t="inlineStr">
        <is>
          <t>Yes</t>
        </is>
      </c>
      <c r="H25">
        <f>+WEEKNUM(A25)</f>
        <v/>
      </c>
      <c r="I25">
        <f>+YEAR(A25)</f>
        <v/>
      </c>
    </row>
    <row r="26">
      <c r="A26" s="1" t="n">
        <v>45952</v>
      </c>
      <c r="B26" t="inlineStr">
        <is>
          <t>VilMat</t>
        </is>
      </c>
      <c r="C26" t="inlineStr">
        <is>
          <t>Consultant</t>
        </is>
      </c>
      <c r="D26" t="inlineStr">
        <is>
          <t>Feature #99740: FR3-SPRINT_1-012 - Queue/Queue Items &gt; Eilių rodinių modifikacijos, laukų vertimai</t>
        </is>
      </c>
      <c r="E26" t="inlineStr">
        <is>
          <t>Užduoties techninio išpildymo specifikacijos aprašymas</t>
        </is>
      </c>
      <c r="F26" t="n">
        <v>1</v>
      </c>
      <c r="G26" t="inlineStr">
        <is>
          <t>Yes</t>
        </is>
      </c>
      <c r="H26">
        <f>+WEEKNUM(A26)</f>
        <v/>
      </c>
      <c r="I26">
        <f>+YEAR(A26)</f>
        <v/>
      </c>
    </row>
    <row r="27">
      <c r="A27" s="1" t="n">
        <v>45951</v>
      </c>
      <c r="B27" t="inlineStr">
        <is>
          <t>VilMat</t>
        </is>
      </c>
      <c r="C27" t="inlineStr">
        <is>
          <t>Consultant</t>
        </is>
      </c>
      <c r="D27" t="inlineStr">
        <is>
          <t>Feature #99716: FR3-SPRINT_1-007 - Case &gt; Verslo proceso juostos modifikacijos pridedant naujus laukus, Case formos modifikacijos</t>
        </is>
      </c>
      <c r="E27" t="inlineStr">
        <is>
          <t>Naujų laukų kūrimas ir talpinimas į BPF (part)</t>
        </is>
      </c>
      <c r="F27" t="n">
        <v>1.5</v>
      </c>
      <c r="G27" t="inlineStr">
        <is>
          <t>Yes</t>
        </is>
      </c>
      <c r="H27">
        <f>+WEEKNUM(A27)</f>
        <v/>
      </c>
      <c r="I27">
        <f>+YEAR(A27)</f>
        <v/>
      </c>
    </row>
    <row r="28">
      <c r="A28" s="1" t="n">
        <v>45951</v>
      </c>
      <c r="B28" t="inlineStr">
        <is>
          <t>VilMat</t>
        </is>
      </c>
      <c r="C28" t="inlineStr">
        <is>
          <t>Consultant</t>
        </is>
      </c>
      <c r="D28" t="inlineStr">
        <is>
          <t>Feature #99736: FR3-SPRINT_1-009 - Case &gt; Užklausos main formos vizualinio atvaizdavimo modifikacijos, naujo rodinio kūrimas</t>
        </is>
      </c>
      <c r="E28" t="inlineStr">
        <is>
          <t>Case modulio main formos korekcijos (part)</t>
        </is>
      </c>
      <c r="F28" t="n">
        <v>1.5</v>
      </c>
      <c r="G28" t="inlineStr">
        <is>
          <t>Yes</t>
        </is>
      </c>
      <c r="H28">
        <f>+WEEKNUM(A28)</f>
        <v/>
      </c>
      <c r="I28">
        <f>+YEAR(A28)</f>
        <v/>
      </c>
    </row>
    <row r="29">
      <c r="A29" s="1" t="n">
        <v>45951</v>
      </c>
      <c r="B29" t="inlineStr">
        <is>
          <t>GabKoj</t>
        </is>
      </c>
      <c r="C29" t="inlineStr">
        <is>
          <t>Developer</t>
        </is>
      </c>
      <c r="D29" t="inlineStr">
        <is>
          <t>Feature #96220: FR3-SPRINT_1-002 - Automatiškai uždedamo el.pašto adreso į juodraštinį el.laišką modifikacija</t>
        </is>
      </c>
      <c r="E29" t="inlineStr">
        <is>
          <t>meet su Vilintu, laukelio pakeitimas is email į queue, testavimas</t>
        </is>
      </c>
      <c r="F29" t="n">
        <v>2</v>
      </c>
      <c r="G29" t="inlineStr">
        <is>
          <t>Yes</t>
        </is>
      </c>
      <c r="H29">
        <f>+WEEKNUM(A29)</f>
        <v/>
      </c>
      <c r="I29">
        <f>+YEAR(A29)</f>
        <v/>
      </c>
    </row>
    <row r="30">
      <c r="A30" s="1" t="n">
        <v>45951</v>
      </c>
      <c r="B30" t="inlineStr">
        <is>
          <t>GabKoj</t>
        </is>
      </c>
      <c r="C30" t="inlineStr">
        <is>
          <t>Developer</t>
        </is>
      </c>
      <c r="D30" t="inlineStr">
        <is>
          <t>Feature #99739: FR3-SPRINT_1-011 - Queue/Queue Items &gt; Atliekant 'Convert To Case' veiksmą patikrinti ar nėra jau sukurta užklausa (Case)</t>
        </is>
      </c>
      <c r="E30" t="inlineStr">
        <is>
          <t>dev, testing</t>
        </is>
      </c>
      <c r="F30" t="n">
        <v>4</v>
      </c>
      <c r="G30" t="inlineStr">
        <is>
          <t>Yes</t>
        </is>
      </c>
      <c r="H30">
        <f>+WEEKNUM(A30)</f>
        <v/>
      </c>
      <c r="I30">
        <f>+YEAR(A30)</f>
        <v/>
      </c>
    </row>
    <row r="31">
      <c r="A31" s="1" t="n">
        <v>45950</v>
      </c>
      <c r="B31" t="inlineStr">
        <is>
          <t>GabKoj</t>
        </is>
      </c>
      <c r="C31" t="inlineStr">
        <is>
          <t>Developer</t>
        </is>
      </c>
      <c r="D31" t="inlineStr">
        <is>
          <t>Feature #96242: FR3-SPRINT_1-005 - Queue Items &gt;'Convert To Case' mygtuko pridėjimas</t>
        </is>
      </c>
      <c r="E31" t="inlineStr">
        <is>
          <t>dev, bug fixing</t>
        </is>
      </c>
      <c r="F31" t="n">
        <v>2.5</v>
      </c>
      <c r="G31" t="inlineStr">
        <is>
          <t>Yes</t>
        </is>
      </c>
      <c r="H31">
        <f>+WEEKNUM(A31)</f>
        <v/>
      </c>
      <c r="I31">
        <f>+YEAR(A31)</f>
        <v/>
      </c>
    </row>
    <row r="32">
      <c r="A32" s="1" t="n">
        <v>45947</v>
      </c>
      <c r="B32" t="inlineStr">
        <is>
          <t>VilMat</t>
        </is>
      </c>
      <c r="C32" t="inlineStr">
        <is>
          <t>Consultant</t>
        </is>
      </c>
      <c r="D32" t="inlineStr">
        <is>
          <t>Feature #99736: FR3-SPRINT_1-009 - Case &gt; Užklausos main formos vizualinio atvaizdavimo modifikacijos, naujo rodinio kūrimas</t>
        </is>
      </c>
      <c r="E32" t="inlineStr">
        <is>
          <t>Formos dizaino korekcijos</t>
        </is>
      </c>
      <c r="F32" t="n">
        <v>0.5</v>
      </c>
      <c r="G32" t="inlineStr">
        <is>
          <t>Yes</t>
        </is>
      </c>
      <c r="H32">
        <f>+WEEKNUM(A32)</f>
        <v/>
      </c>
      <c r="I32">
        <f>+YEAR(A32)</f>
        <v/>
      </c>
    </row>
    <row r="33">
      <c r="A33" s="1" t="n">
        <v>45947</v>
      </c>
      <c r="B33" t="inlineStr">
        <is>
          <t>VilMat</t>
        </is>
      </c>
      <c r="C33" t="inlineStr">
        <is>
          <t>Consultant</t>
        </is>
      </c>
      <c r="D33" t="inlineStr">
        <is>
          <t>Feature #99716: FR3-SPRINT_1-007 - Case &gt; Verslo proceso juostos modifikacijos pridedant naujus laukus, Case formos modifikacijos</t>
        </is>
      </c>
      <c r="E33" t="inlineStr">
        <is>
          <t>BPF korekcijos, testavimas</t>
        </is>
      </c>
      <c r="F33" t="n">
        <v>1.5</v>
      </c>
      <c r="G33" t="inlineStr">
        <is>
          <t>Yes</t>
        </is>
      </c>
      <c r="H33">
        <f>+WEEKNUM(A33)</f>
        <v/>
      </c>
      <c r="I33">
        <f>+YEAR(A33)</f>
        <v/>
      </c>
    </row>
    <row r="34">
      <c r="A34" s="1" t="n">
        <v>45946</v>
      </c>
      <c r="B34" t="inlineStr">
        <is>
          <t>VilMat</t>
        </is>
      </c>
      <c r="C34" t="inlineStr">
        <is>
          <t>Consultant</t>
        </is>
      </c>
      <c r="D34" t="inlineStr">
        <is>
          <t>Feature #99745: FR3-SPRINT_1-017 - Queue/Queue Items &gt; Convert To Case - Account suradimas ir užpildymas į lookup laukelį</t>
        </is>
      </c>
      <c r="E34" t="inlineStr">
        <is>
          <t>Užduoties kūrimas ir aprašymas</t>
        </is>
      </c>
      <c r="F34" t="n">
        <v>0.5</v>
      </c>
      <c r="G34" t="inlineStr">
        <is>
          <t>Yes</t>
        </is>
      </c>
      <c r="H34">
        <f>+WEEKNUM(A34)</f>
        <v/>
      </c>
      <c r="I34">
        <f>+YEAR(A34)</f>
        <v/>
      </c>
    </row>
    <row r="35">
      <c r="A35" s="1" t="n">
        <v>45946</v>
      </c>
      <c r="B35" t="inlineStr">
        <is>
          <t>VilMat</t>
        </is>
      </c>
      <c r="C35" t="inlineStr">
        <is>
          <t>Consultant</t>
        </is>
      </c>
      <c r="D35" t="inlineStr">
        <is>
          <t>Feature #99744: FR3-SPRINT_1-016 - Queue/Queue Items &gt; Convert To Case - Kontakto pagal klientą užpildymas ir pernešimas į sukuriamą užklausos įrašą</t>
        </is>
      </c>
      <c r="E35" t="inlineStr">
        <is>
          <t>Užduoties kūrimas ir aprašymas</t>
        </is>
      </c>
      <c r="F35" t="n">
        <v>0.5</v>
      </c>
      <c r="G35" t="inlineStr">
        <is>
          <t>Yes</t>
        </is>
      </c>
      <c r="H35">
        <f>+WEEKNUM(A35)</f>
        <v/>
      </c>
      <c r="I35">
        <f>+YEAR(A35)</f>
        <v/>
      </c>
    </row>
    <row r="36">
      <c r="A36" s="1" t="n">
        <v>45946</v>
      </c>
      <c r="B36" t="inlineStr">
        <is>
          <t>VilMat</t>
        </is>
      </c>
      <c r="C36" t="inlineStr">
        <is>
          <t>Consultant</t>
        </is>
      </c>
      <c r="D36" t="inlineStr">
        <is>
          <t>Feature #99743: FR3-SPRINT_1-015 - Queue/Queue Items &gt; Naujo modulio fiksuoti eilių konvertavimą kūrimas</t>
        </is>
      </c>
      <c r="E36" t="inlineStr">
        <is>
          <t>Užduoties kūrimas ir aprašymas</t>
        </is>
      </c>
      <c r="F36" t="n">
        <v>0.5</v>
      </c>
      <c r="G36" t="inlineStr">
        <is>
          <t>Yes</t>
        </is>
      </c>
      <c r="H36">
        <f>+WEEKNUM(A36)</f>
        <v/>
      </c>
      <c r="I36">
        <f>+YEAR(A36)</f>
        <v/>
      </c>
    </row>
    <row r="37">
      <c r="A37" s="1" t="n">
        <v>45946</v>
      </c>
      <c r="B37" t="inlineStr">
        <is>
          <t>VilMat</t>
        </is>
      </c>
      <c r="C37" t="inlineStr">
        <is>
          <t>Consultant</t>
        </is>
      </c>
      <c r="D37" t="inlineStr">
        <is>
          <t>Feature #99742: FR3-SPRINT_1-014 - Queue/Queue Items &gt; Convert To Case - Konvertavimo lango laukų atvaizdavimo ir eilių įrašų paleidimo iš eilės modifikacijos</t>
        </is>
      </c>
      <c r="E37" t="inlineStr">
        <is>
          <t>Užduoties kūrimas ir aprašymas</t>
        </is>
      </c>
      <c r="F37" t="n">
        <v>0.5</v>
      </c>
      <c r="G37" t="inlineStr">
        <is>
          <t>Yes</t>
        </is>
      </c>
      <c r="H37">
        <f>+WEEKNUM(A37)</f>
        <v/>
      </c>
      <c r="I37">
        <f>+YEAR(A37)</f>
        <v/>
      </c>
    </row>
    <row r="38">
      <c r="A38" s="1" t="n">
        <v>45946</v>
      </c>
      <c r="B38" t="inlineStr">
        <is>
          <t>VilMat</t>
        </is>
      </c>
      <c r="C38" t="inlineStr">
        <is>
          <t>Consultant</t>
        </is>
      </c>
      <c r="D38" t="inlineStr">
        <is>
          <t>Feature #99741: FR3-SPRINT_1-013 - Email Messages &gt; Laiško peržiūros statuso laukelio kūrimas, Flow kūrimas, Timeline Email card modifikavimas,  Pranešimų siuntimas eilėje nurodytai komandai.</t>
        </is>
      </c>
      <c r="E38" t="inlineStr">
        <is>
          <t>Užduoties kūrimas ir aprašymas</t>
        </is>
      </c>
      <c r="F38" t="n">
        <v>0.5</v>
      </c>
      <c r="G38" t="inlineStr">
        <is>
          <t>Yes</t>
        </is>
      </c>
      <c r="H38">
        <f>+WEEKNUM(A38)</f>
        <v/>
      </c>
      <c r="I38">
        <f>+YEAR(A38)</f>
        <v/>
      </c>
    </row>
    <row r="39">
      <c r="A39" s="1" t="n">
        <v>45946</v>
      </c>
      <c r="B39" t="inlineStr">
        <is>
          <t>VilMat</t>
        </is>
      </c>
      <c r="C39" t="inlineStr">
        <is>
          <t>Consultant</t>
        </is>
      </c>
      <c r="D39" t="inlineStr">
        <is>
          <t>Feature #99740: FR3-SPRINT_1-012 - Queue/Queue Items &gt; Eilių rodinių modifikacijos, laukų vertimai</t>
        </is>
      </c>
      <c r="E39" t="inlineStr">
        <is>
          <t>Užduoties kūrimas ir aprašymas</t>
        </is>
      </c>
      <c r="F39" t="n">
        <v>0.5</v>
      </c>
      <c r="G39" t="inlineStr">
        <is>
          <t>Yes</t>
        </is>
      </c>
      <c r="H39">
        <f>+WEEKNUM(A39)</f>
        <v/>
      </c>
      <c r="I39">
        <f>+YEAR(A39)</f>
        <v/>
      </c>
    </row>
    <row r="40">
      <c r="A40" s="1" t="n">
        <v>45946</v>
      </c>
      <c r="B40" t="inlineStr">
        <is>
          <t>VilMat</t>
        </is>
      </c>
      <c r="C40" t="inlineStr">
        <is>
          <t>Consultant</t>
        </is>
      </c>
      <c r="D40" t="inlineStr">
        <is>
          <t>Feature #99739: FR3-SPRINT_1-011 - Queue/Queue Items &gt; Atliekant 'Convert To Case' veiksmą patikrinti ar nėra jau sukurta užklausa (Case)</t>
        </is>
      </c>
      <c r="E40" t="inlineStr">
        <is>
          <t>Užduoties kūrimas ir techninio išpildymo specifikacijos rašymas</t>
        </is>
      </c>
      <c r="F40" t="n">
        <v>0.5</v>
      </c>
      <c r="G40" t="inlineStr">
        <is>
          <t>Yes</t>
        </is>
      </c>
      <c r="H40">
        <f>+WEEKNUM(A40)</f>
        <v/>
      </c>
      <c r="I40">
        <f>+YEAR(A40)</f>
        <v/>
      </c>
    </row>
    <row r="41">
      <c r="A41" s="1" t="n">
        <v>45946</v>
      </c>
      <c r="B41" t="inlineStr">
        <is>
          <t>VilMat</t>
        </is>
      </c>
      <c r="C41" t="inlineStr">
        <is>
          <t>Consultant</t>
        </is>
      </c>
      <c r="D41" t="inlineStr">
        <is>
          <t>Feature #99738: FR3-SPRINT_1-010 - Global Settings &gt; Globalioje paieškoje filtruoti pagal įmonės kodą</t>
        </is>
      </c>
      <c r="E41" t="inlineStr">
        <is>
          <t>Užduoties kūrimas ir aprašymas</t>
        </is>
      </c>
      <c r="F41" t="n">
        <v>0.5</v>
      </c>
      <c r="G41" t="inlineStr">
        <is>
          <t>Yes</t>
        </is>
      </c>
      <c r="H41">
        <f>+WEEKNUM(A41)</f>
        <v/>
      </c>
      <c r="I41">
        <f>+YEAR(A41)</f>
        <v/>
      </c>
    </row>
    <row r="42">
      <c r="A42" s="1" t="n">
        <v>45946</v>
      </c>
      <c r="B42" t="inlineStr">
        <is>
          <t>VilMat</t>
        </is>
      </c>
      <c r="C42" t="inlineStr">
        <is>
          <t>Consultant</t>
        </is>
      </c>
      <c r="D42" t="inlineStr">
        <is>
          <t>Feature #99736: FR3-SPRINT_1-009 - Case &gt; Užklausos main formos vizualinio atvaizdavimo modifikacijos, naujo rodinio kūrimas</t>
        </is>
      </c>
      <c r="E42" t="inlineStr">
        <is>
          <t>Užduoties kūrimas ir techninio išpildymo specifikacijos rašymas</t>
        </is>
      </c>
      <c r="F42" t="n">
        <v>1</v>
      </c>
      <c r="G42" t="inlineStr">
        <is>
          <t>Yes</t>
        </is>
      </c>
      <c r="H42">
        <f>+WEEKNUM(A42)</f>
        <v/>
      </c>
      <c r="I42">
        <f>+YEAR(A42)</f>
        <v/>
      </c>
    </row>
    <row r="43">
      <c r="A43" s="1" t="n">
        <v>45946</v>
      </c>
      <c r="B43" t="inlineStr">
        <is>
          <t>VilMat</t>
        </is>
      </c>
      <c r="C43" t="inlineStr">
        <is>
          <t>Consultant</t>
        </is>
      </c>
      <c r="D43" t="inlineStr">
        <is>
          <t>Feature #99716: FR3-SPRINT_1-007 - Case &gt; Verslo proceso juostos modifikacijos pridedant naujus laukus, Case formos modifikacijos</t>
        </is>
      </c>
      <c r="E43" t="inlineStr">
        <is>
          <t>Užduoties kūrimas ir techninio išpildymo specifikacijos rašymas</t>
        </is>
      </c>
      <c r="F43" t="n">
        <v>1.5</v>
      </c>
      <c r="G43" t="inlineStr">
        <is>
          <t>Yes</t>
        </is>
      </c>
      <c r="H43">
        <f>+WEEKNUM(A43)</f>
        <v/>
      </c>
      <c r="I43">
        <f>+YEAR(A43)</f>
        <v/>
      </c>
    </row>
    <row r="44">
      <c r="A44" s="1" t="n">
        <v>45946</v>
      </c>
      <c r="B44" t="inlineStr">
        <is>
          <t>VilMat</t>
        </is>
      </c>
      <c r="C44" t="inlineStr">
        <is>
          <t>Consultant</t>
        </is>
      </c>
      <c r="D44" t="inlineStr">
        <is>
          <t>Feature #99735: FR3-SPRINT_1-008 - Case &gt; Stage Duration modulio korekcijos &gt; Paskaičiuotą laiką atvaizduoti minutėmis, sukurti išsprendimo laiko laukelį, rodinio korekcijos</t>
        </is>
      </c>
      <c r="E44" t="inlineStr">
        <is>
          <t>Užduoties kūrimas ir techninio išpildymo specifikacijos rašymas</t>
        </is>
      </c>
      <c r="F44" t="n">
        <v>1</v>
      </c>
      <c r="G44" t="inlineStr">
        <is>
          <t>Yes</t>
        </is>
      </c>
      <c r="H44">
        <f>+WEEKNUM(A44)</f>
        <v/>
      </c>
      <c r="I44">
        <f>+YEAR(A44)</f>
        <v/>
      </c>
    </row>
    <row r="45">
      <c r="A45" s="1" t="n">
        <v>45946</v>
      </c>
      <c r="B45" t="inlineStr">
        <is>
          <t>GabKoj</t>
        </is>
      </c>
      <c r="C45" t="inlineStr">
        <is>
          <t>Developer</t>
        </is>
      </c>
      <c r="D45" t="inlineStr">
        <is>
          <t xml:space="preserve">Feature #96218: FR3-SPRINT_1-001 - Risk Assessment/Account modulio modifikacijos </t>
        </is>
      </c>
      <c r="E45" t="inlineStr">
        <is>
          <t>flow dev, testing</t>
        </is>
      </c>
      <c r="F45" t="n">
        <v>1</v>
      </c>
      <c r="G45" t="inlineStr">
        <is>
          <t>Yes</t>
        </is>
      </c>
      <c r="H45">
        <f>+WEEKNUM(A45)</f>
        <v/>
      </c>
      <c r="I45">
        <f>+YEAR(A45)</f>
        <v/>
      </c>
    </row>
    <row r="46">
      <c r="A46" s="1" t="n">
        <v>45946</v>
      </c>
      <c r="B46" t="inlineStr">
        <is>
          <t>GabKoj</t>
        </is>
      </c>
      <c r="C46" t="inlineStr">
        <is>
          <t>Developer</t>
        </is>
      </c>
      <c r="D46" t="inlineStr">
        <is>
          <t>Feature #96243: FR3-SPRINT_1-006 - Queue Items/Queues - Force refresh rodinio sąrašą su custom kodu</t>
        </is>
      </c>
      <c r="E46" t="inlineStr">
        <is>
          <t>testing, small modifications, feedback</t>
        </is>
      </c>
      <c r="F46" t="n">
        <v>2</v>
      </c>
      <c r="G46" t="inlineStr">
        <is>
          <t>Yes</t>
        </is>
      </c>
      <c r="H46">
        <f>+WEEKNUM(A46)</f>
        <v/>
      </c>
      <c r="I46">
        <f>+YEAR(A46)</f>
        <v/>
      </c>
    </row>
    <row r="47">
      <c r="A47" s="1" t="n">
        <v>45945</v>
      </c>
      <c r="B47" t="inlineStr">
        <is>
          <t>VilMat</t>
        </is>
      </c>
      <c r="C47" t="inlineStr">
        <is>
          <t>Consultant</t>
        </is>
      </c>
      <c r="D47" t="inlineStr">
        <is>
          <t>Feature #90447: FR3-20250601 - Nauji kliento poreikiai | susitikimų minutės (Pradžia 2025-06-04) | LTG/GO-ERP</t>
        </is>
      </c>
      <c r="E47" t="inlineStr">
        <is>
          <t>Atnaujinto poreikio sprendimo įgyvendinimo projektavimas ir vertinimas</t>
        </is>
      </c>
      <c r="F47" t="n">
        <v>1</v>
      </c>
      <c r="G47" t="inlineStr">
        <is>
          <t>Yes</t>
        </is>
      </c>
      <c r="H47">
        <f>+WEEKNUM(A47)</f>
        <v/>
      </c>
      <c r="I47">
        <f>+YEAR(A47)</f>
        <v/>
      </c>
    </row>
    <row r="48">
      <c r="A48" s="1" t="n">
        <v>45945</v>
      </c>
      <c r="B48" t="inlineStr">
        <is>
          <t>VilMat</t>
        </is>
      </c>
      <c r="C48" t="inlineStr">
        <is>
          <t>Consultant</t>
        </is>
      </c>
      <c r="D48" t="inlineStr">
        <is>
          <t>Feature #96243: FR3-SPRINT_1-006 - Queue Items/Queues - Force refresh rodinio sąrašą su custom kodu</t>
        </is>
      </c>
      <c r="E48" t="inlineStr">
        <is>
          <t>Komunikacija su MS support</t>
        </is>
      </c>
      <c r="F48" t="n">
        <v>0.5</v>
      </c>
      <c r="G48" t="inlineStr">
        <is>
          <t>Yes</t>
        </is>
      </c>
      <c r="H48">
        <f>+WEEKNUM(A48)</f>
        <v/>
      </c>
      <c r="I48">
        <f>+YEAR(A48)</f>
        <v/>
      </c>
    </row>
    <row r="49">
      <c r="A49" s="1" t="n">
        <v>45944</v>
      </c>
      <c r="B49" t="inlineStr">
        <is>
          <t>GabKoj</t>
        </is>
      </c>
      <c r="C49" t="inlineStr">
        <is>
          <t>Developer</t>
        </is>
      </c>
      <c r="D49" t="inlineStr">
        <is>
          <t>Feature #90447: FR3-20250601 - Nauji kliento poreikiai | susitikimų minutės (Pradžia 2025-06-04) | LTG/GO-ERP</t>
        </is>
      </c>
      <c r="E49" t="inlineStr">
        <is>
          <t>call with Vilintas</t>
        </is>
      </c>
      <c r="F49" t="n">
        <v>0.5</v>
      </c>
      <c r="G49" t="inlineStr">
        <is>
          <t>Yes</t>
        </is>
      </c>
      <c r="H49">
        <f>+WEEKNUM(A49)</f>
        <v/>
      </c>
      <c r="I49">
        <f>+YEAR(A49)</f>
        <v/>
      </c>
    </row>
    <row r="50">
      <c r="A50" s="1" t="n">
        <v>45944</v>
      </c>
      <c r="B50" t="inlineStr">
        <is>
          <t>GabKoj</t>
        </is>
      </c>
      <c r="C50" t="inlineStr">
        <is>
          <t>Developer</t>
        </is>
      </c>
      <c r="D50" t="inlineStr">
        <is>
          <t>Feature #96220: FR3-SPRINT_1-002 - Automatiškai uždedamo el.pašto adreso į juodraštinį el.laišką modifikacija</t>
        </is>
      </c>
      <c r="E50" t="inlineStr">
        <is>
          <t>dev</t>
        </is>
      </c>
      <c r="F50" t="n">
        <v>8</v>
      </c>
      <c r="G50" t="inlineStr">
        <is>
          <t>Yes</t>
        </is>
      </c>
      <c r="H50">
        <f>+WEEKNUM(A50)</f>
        <v/>
      </c>
      <c r="I50">
        <f>+YEAR(A50)</f>
        <v/>
      </c>
    </row>
    <row r="51">
      <c r="A51" s="1" t="n">
        <v>45943</v>
      </c>
      <c r="B51" t="inlineStr">
        <is>
          <t>VilMat</t>
        </is>
      </c>
      <c r="C51" t="inlineStr">
        <is>
          <t>Consultant</t>
        </is>
      </c>
      <c r="D51" t="inlineStr">
        <is>
          <t>Feature #96243: FR3-SPRINT_1-006 - Queue Items/Queues - Force refresh rodinio sąrašą su custom kodu</t>
        </is>
      </c>
      <c r="E51" t="inlineStr">
        <is>
          <t>Naujo laukelio kūrimas ir patalpinimas į User pagrindinę formą</t>
        </is>
      </c>
      <c r="F51" t="n">
        <v>0.5</v>
      </c>
      <c r="G51" t="inlineStr">
        <is>
          <t>Yes</t>
        </is>
      </c>
      <c r="H51">
        <f>+WEEKNUM(A51)</f>
        <v/>
      </c>
      <c r="I51">
        <f>+YEAR(A51)</f>
        <v/>
      </c>
    </row>
    <row r="52">
      <c r="A52" s="1" t="n">
        <v>45943</v>
      </c>
      <c r="B52" t="inlineStr">
        <is>
          <t>VilMat</t>
        </is>
      </c>
      <c r="C52" t="inlineStr">
        <is>
          <t>Consultant</t>
        </is>
      </c>
      <c r="D52" t="inlineStr">
        <is>
          <t>Feature #96235: FR3-SPRINT_1-003 - Case &gt; Timeline &gt; Notes: Padidinti 'Description' simbolių skaičių iki maksimumo</t>
        </is>
      </c>
      <c r="E52" t="inlineStr">
        <is>
          <t>Laukelio korekcijos</t>
        </is>
      </c>
      <c r="F52" t="n">
        <v>0.5</v>
      </c>
      <c r="G52" t="inlineStr">
        <is>
          <t>Yes</t>
        </is>
      </c>
      <c r="H52">
        <f>+WEEKNUM(A52)</f>
        <v/>
      </c>
      <c r="I52">
        <f>+YEAR(A52)</f>
        <v/>
      </c>
    </row>
    <row r="53">
      <c r="A53" s="1" t="n">
        <v>45943</v>
      </c>
      <c r="B53" t="inlineStr">
        <is>
          <t>VilMat</t>
        </is>
      </c>
      <c r="C53" t="inlineStr">
        <is>
          <t>Consultant</t>
        </is>
      </c>
      <c r="D53" t="inlineStr">
        <is>
          <t>Feature #96239: FR3-SPRINT_1-004 - Accounts &gt; Atsakingų asmenų pasirinkimų praplėtimas</t>
        </is>
      </c>
      <c r="E53" t="inlineStr">
        <is>
          <t>Laukų modifikacijos, vertimai į LT kalbą</t>
        </is>
      </c>
      <c r="F53" t="n">
        <v>1</v>
      </c>
      <c r="G53" t="inlineStr">
        <is>
          <t>Yes</t>
        </is>
      </c>
      <c r="H53">
        <f>+WEEKNUM(A53)</f>
        <v/>
      </c>
      <c r="I53">
        <f>+YEAR(A53)</f>
        <v/>
      </c>
    </row>
    <row r="54">
      <c r="A54" s="1" t="n">
        <v>45943</v>
      </c>
      <c r="B54" t="inlineStr">
        <is>
          <t>VilMat</t>
        </is>
      </c>
      <c r="C54" t="inlineStr">
        <is>
          <t>Consultant</t>
        </is>
      </c>
      <c r="D54" t="inlineStr">
        <is>
          <t xml:space="preserve">Feature #96218: FR3-SPRINT_1-001 - Risk Assessment/Account modulio modifikacijos </t>
        </is>
      </c>
      <c r="E54" t="inlineStr">
        <is>
          <t>Modifikacijos Risk Assessment modulio rodiniams, Account formai</t>
        </is>
      </c>
      <c r="F54" t="n">
        <v>0.75</v>
      </c>
      <c r="G54" t="inlineStr">
        <is>
          <t>Yes</t>
        </is>
      </c>
      <c r="H54">
        <f>+WEEKNUM(A54)</f>
        <v/>
      </c>
      <c r="I54">
        <f>+YEAR(A54)</f>
        <v/>
      </c>
    </row>
    <row r="55">
      <c r="A55" s="1" t="n">
        <v>45943</v>
      </c>
      <c r="B55" t="inlineStr">
        <is>
          <t>VilMat</t>
        </is>
      </c>
      <c r="C55" t="inlineStr">
        <is>
          <t>Consultant</t>
        </is>
      </c>
      <c r="D55" t="inlineStr">
        <is>
          <t>Feature #90447: FR3-20250601 - Nauji kliento poreikiai | susitikimų minutės (Pradžia 2025-06-04) | LTG/GO-ERP</t>
        </is>
      </c>
      <c r="E55" t="inlineStr">
        <is>
          <t>Sutvarkyti kliento iškeltą vietą, dėl case modulyje užstatomo owner laukelio pagal Delegated Person laukelį.</t>
        </is>
      </c>
      <c r="F55" t="n">
        <v>0.5</v>
      </c>
      <c r="G55" t="inlineStr">
        <is>
          <t>Yes</t>
        </is>
      </c>
      <c r="H55">
        <f>+WEEKNUM(A55)</f>
        <v/>
      </c>
      <c r="I55">
        <f>+YEAR(A55)</f>
        <v/>
      </c>
    </row>
    <row r="56">
      <c r="A56" s="1" t="n">
        <v>45943</v>
      </c>
      <c r="B56" t="inlineStr">
        <is>
          <t>VilMat</t>
        </is>
      </c>
      <c r="C56" t="inlineStr">
        <is>
          <t>Consultant</t>
        </is>
      </c>
      <c r="D56" t="inlineStr">
        <is>
          <t>Feature #90447: FR3-20250601 - Nauji kliento poreikiai | susitikimų minutės (Pradžia 2025-06-04) | LTG/GO-ERP</t>
        </is>
      </c>
      <c r="E56" t="inlineStr">
        <is>
          <t>Aštuonioliktasis susitikimas su klientu - 2 prioriteto darbų derinimas, dabartinė pranešimų siuntimo metodika ir galimi pakeitimai, alternatyvios metodikos įgalinimas</t>
        </is>
      </c>
      <c r="F56" t="n">
        <v>1.5</v>
      </c>
      <c r="G56" t="inlineStr">
        <is>
          <t>Yes</t>
        </is>
      </c>
      <c r="H56">
        <f>+WEEKNUM(A56)</f>
        <v/>
      </c>
      <c r="I56">
        <f>+YEAR(A56)</f>
        <v/>
      </c>
    </row>
    <row r="57">
      <c r="A57" s="1" t="n">
        <v>45943</v>
      </c>
      <c r="B57" t="inlineStr">
        <is>
          <t>VilMat</t>
        </is>
      </c>
      <c r="C57" t="inlineStr">
        <is>
          <t>Consultant</t>
        </is>
      </c>
      <c r="D57" t="inlineStr">
        <is>
          <t>Feature #96220: FR3-SPRINT_1-002 - Automatiškai uždedamo el.pašto adreso į juodraštinį el.laišką modifikacija</t>
        </is>
      </c>
      <c r="E57" t="inlineStr">
        <is>
          <t>Sukurti laukelius, verslo taisyklę, pridėti į vartotojo main formą.</t>
        </is>
      </c>
      <c r="F57" t="n">
        <v>0.75</v>
      </c>
      <c r="G57" t="inlineStr">
        <is>
          <t>Yes</t>
        </is>
      </c>
      <c r="H57">
        <f>+WEEKNUM(A57)</f>
        <v/>
      </c>
      <c r="I57">
        <f>+YEAR(A57)</f>
        <v/>
      </c>
    </row>
    <row r="58">
      <c r="A58" s="1" t="n">
        <v>45943</v>
      </c>
      <c r="B58" t="inlineStr">
        <is>
          <t>LauSta</t>
        </is>
      </c>
      <c r="C58" t="inlineStr">
        <is>
          <t>Consultant</t>
        </is>
      </c>
      <c r="D58" t="inlineStr">
        <is>
          <t>Support #37922: Project management</t>
        </is>
      </c>
      <c r="E58" t="inlineStr">
        <is>
          <t>DevOps Git integracijos pajungimas</t>
        </is>
      </c>
      <c r="F58" t="n">
        <v>0.25</v>
      </c>
      <c r="G58" t="inlineStr">
        <is>
          <t>Yes</t>
        </is>
      </c>
      <c r="H58">
        <f>+WEEKNUM(A58)</f>
        <v/>
      </c>
      <c r="I58">
        <f>+YEAR(A58)</f>
        <v/>
      </c>
    </row>
    <row r="59">
      <c r="A59" s="1" t="n">
        <v>45939</v>
      </c>
      <c r="B59" t="inlineStr">
        <is>
          <t>VilMat</t>
        </is>
      </c>
      <c r="C59" t="inlineStr">
        <is>
          <t>Consultant</t>
        </is>
      </c>
      <c r="D59" t="inlineStr">
        <is>
          <t>Feature #90447: FR3-20250601 - Nauji kliento poreikiai | susitikimų minutės (Pradžia 2025-06-04) | LTG/GO-ERP</t>
        </is>
      </c>
      <c r="E59" t="inlineStr">
        <is>
          <t>Septynioliktasis susitikimas su klientu - 2 prioriteto darbų derinimas, alternatyvaus sprendimo suderinimas remiantis pirminiu poreikiu</t>
        </is>
      </c>
      <c r="F59" t="n">
        <v>1.5</v>
      </c>
      <c r="G59" t="inlineStr">
        <is>
          <t>Yes</t>
        </is>
      </c>
      <c r="H59">
        <f>+WEEKNUM(A59)</f>
        <v/>
      </c>
      <c r="I59">
        <f>+YEAR(A59)</f>
        <v/>
      </c>
    </row>
    <row r="60">
      <c r="A60" s="1" t="n">
        <v>45939</v>
      </c>
      <c r="B60" t="inlineStr">
        <is>
          <t>VilMat</t>
        </is>
      </c>
      <c r="C60" t="inlineStr">
        <is>
          <t>Project management</t>
        </is>
      </c>
      <c r="D60" t="inlineStr">
        <is>
          <t>Support #65707: Administravimas ir darbų koordinavimas</t>
        </is>
      </c>
      <c r="E60" t="inlineStr">
        <is>
          <t>Projekto eigos aptarimas su Ugniumi</t>
        </is>
      </c>
      <c r="F60" t="n">
        <v>0.25</v>
      </c>
      <c r="G60" t="inlineStr">
        <is>
          <t>Yes</t>
        </is>
      </c>
      <c r="H60">
        <f>+WEEKNUM(A60)</f>
        <v/>
      </c>
      <c r="I60">
        <f>+YEAR(A60)</f>
        <v/>
      </c>
    </row>
    <row r="61">
      <c r="A61" s="1" t="n">
        <v>45938</v>
      </c>
      <c r="B61" t="inlineStr">
        <is>
          <t>VilMat</t>
        </is>
      </c>
      <c r="C61" t="inlineStr">
        <is>
          <t>Consultant</t>
        </is>
      </c>
      <c r="D61" t="inlineStr">
        <is>
          <t>Feature #90447: FR3-20250601 - Nauji kliento poreikiai | susitikimų minutės (Pradžia 2025-06-04) | LTG/GO-ERP</t>
        </is>
      </c>
      <c r="E61" t="inlineStr">
        <is>
          <t>Šešioliktasis susitikimas su klientu - 2 prioriteto darbų derinimas, alternatyvių sprendimų pasiūlymai</t>
        </is>
      </c>
      <c r="F61" t="n">
        <v>1</v>
      </c>
      <c r="G61" t="inlineStr">
        <is>
          <t>Yes</t>
        </is>
      </c>
      <c r="H61">
        <f>+WEEKNUM(A61)</f>
        <v/>
      </c>
      <c r="I61">
        <f>+YEAR(A61)</f>
        <v/>
      </c>
    </row>
    <row r="62">
      <c r="A62" s="1" t="n">
        <v>45937</v>
      </c>
      <c r="B62" t="inlineStr">
        <is>
          <t>GabKoj</t>
        </is>
      </c>
      <c r="C62" t="inlineStr">
        <is>
          <t>Developer</t>
        </is>
      </c>
      <c r="D62" t="inlineStr">
        <is>
          <t>Feature #96243: FR3-SPRINT_1-006 - Queue Items/Queues - Force refresh rodinio sąrašą su custom kodu</t>
        </is>
      </c>
      <c r="E62" t="inlineStr">
        <is>
          <t>dev, fixing bug</t>
        </is>
      </c>
      <c r="F62" t="n">
        <v>4</v>
      </c>
      <c r="G62" t="inlineStr">
        <is>
          <t>Yes</t>
        </is>
      </c>
      <c r="H62">
        <f>+WEEKNUM(A62)</f>
        <v/>
      </c>
      <c r="I62">
        <f>+YEAR(A62)</f>
        <v/>
      </c>
    </row>
    <row r="63">
      <c r="A63" s="1" t="n">
        <v>45936</v>
      </c>
      <c r="B63" t="inlineStr">
        <is>
          <t>VilMat</t>
        </is>
      </c>
      <c r="C63" t="inlineStr">
        <is>
          <t>Project management</t>
        </is>
      </c>
      <c r="D63" t="inlineStr">
        <is>
          <t>Support #65707: Administravimas ir darbų koordinavimas</t>
        </is>
      </c>
      <c r="E63" t="inlineStr">
        <is>
          <t>Projekto valdymo aptarimas su Jurijumi ir Ugniumi</t>
        </is>
      </c>
      <c r="F63" t="n">
        <v>0.5</v>
      </c>
      <c r="G63" t="inlineStr">
        <is>
          <t>Yes</t>
        </is>
      </c>
      <c r="H63">
        <f>+WEEKNUM(A63)</f>
        <v/>
      </c>
      <c r="I63">
        <f>+YEAR(A63)</f>
        <v/>
      </c>
    </row>
    <row r="64">
      <c r="A64" s="1" t="n">
        <v>45933</v>
      </c>
      <c r="B64" t="inlineStr">
        <is>
          <t>VilMat</t>
        </is>
      </c>
      <c r="C64" t="inlineStr">
        <is>
          <t>Consultant</t>
        </is>
      </c>
      <c r="D64" t="inlineStr">
        <is>
          <t xml:space="preserve">Feature #96218: FR3-SPRINT_1-001 - Risk Assessment/Account modulio modifikacijos </t>
        </is>
      </c>
      <c r="E64" t="inlineStr">
        <is>
          <t>Konfigūracijos darbai pagal specifikaciją</t>
        </is>
      </c>
      <c r="F64" t="n">
        <v>1</v>
      </c>
      <c r="G64" t="inlineStr">
        <is>
          <t>Yes</t>
        </is>
      </c>
      <c r="H64">
        <f>+WEEKNUM(A64)</f>
        <v/>
      </c>
      <c r="I64">
        <f>+YEAR(A64)</f>
        <v/>
      </c>
    </row>
    <row r="65">
      <c r="A65" s="1" t="n">
        <v>45933</v>
      </c>
      <c r="B65" t="inlineStr">
        <is>
          <t>VilMat</t>
        </is>
      </c>
      <c r="C65" t="inlineStr">
        <is>
          <t>Consultant</t>
        </is>
      </c>
      <c r="D65" t="inlineStr">
        <is>
          <t>Feature #96239: FR3-SPRINT_1-004 - Accounts &gt; Atsakingų asmenų pasirinkimų praplėtimas</t>
        </is>
      </c>
      <c r="E65" t="inlineStr">
        <is>
          <t>Konfigūracijos darbai pagal specifikaciją</t>
        </is>
      </c>
      <c r="F65" t="n">
        <v>1</v>
      </c>
      <c r="G65" t="inlineStr">
        <is>
          <t>Yes</t>
        </is>
      </c>
      <c r="H65">
        <f>+WEEKNUM(A65)</f>
        <v/>
      </c>
      <c r="I65">
        <f>+YEAR(A65)</f>
        <v/>
      </c>
    </row>
    <row r="66">
      <c r="A66" s="1" t="n">
        <v>45932</v>
      </c>
      <c r="B66" t="inlineStr">
        <is>
          <t>VilMat</t>
        </is>
      </c>
      <c r="C66" t="inlineStr">
        <is>
          <t>Consultant</t>
        </is>
      </c>
      <c r="D66" t="inlineStr">
        <is>
          <t>Feature #90447: FR3-20250601 - Nauji kliento poreikiai | susitikimų minutės (Pradžia 2025-06-04) | LTG/GO-ERP</t>
        </is>
      </c>
      <c r="E66" t="inlineStr">
        <is>
          <t>Penkioliktasis susitikimas su klientu - 2 prioriteto darbų derinimas, alternatyvių sprendimų išaiškinimas ir papildomų poreikių aptarimas</t>
        </is>
      </c>
      <c r="F66" t="n">
        <v>1.25</v>
      </c>
      <c r="G66" t="inlineStr">
        <is>
          <t>Yes</t>
        </is>
      </c>
      <c r="H66">
        <f>+WEEKNUM(A66)</f>
        <v/>
      </c>
      <c r="I66">
        <f>+YEAR(A66)</f>
        <v/>
      </c>
    </row>
    <row r="67">
      <c r="A67" s="1" t="n">
        <v>45931</v>
      </c>
      <c r="B67" t="inlineStr">
        <is>
          <t>VilMat</t>
        </is>
      </c>
      <c r="C67" t="inlineStr">
        <is>
          <t>Consultant</t>
        </is>
      </c>
      <c r="D67" t="inlineStr">
        <is>
          <t>Feature #90447: FR3-20250601 - Nauji kliento poreikiai | susitikimų minutės (Pradžia 2025-06-04) | LTG/GO-ERP</t>
        </is>
      </c>
      <c r="E67" t="inlineStr">
        <is>
          <t xml:space="preserve">Keturioliktasis susitikimas su klientu - 2 prioriteto darbų derinimas ir papildomų poreikių iškėlimas	</t>
        </is>
      </c>
      <c r="F67" t="n">
        <v>1.5</v>
      </c>
      <c r="G67" t="inlineStr">
        <is>
          <t>Yes</t>
        </is>
      </c>
      <c r="H67">
        <f>+WEEKNUM(A67)</f>
        <v/>
      </c>
      <c r="I67">
        <f>+YEAR(A67)</f>
        <v/>
      </c>
    </row>
    <row r="68">
      <c r="A68" s="1" t="n">
        <v>45930</v>
      </c>
      <c r="B68" t="inlineStr">
        <is>
          <t>VilMat</t>
        </is>
      </c>
      <c r="C68" t="inlineStr">
        <is>
          <t>Consultant</t>
        </is>
      </c>
      <c r="D68" t="inlineStr">
        <is>
          <t>Feature #90447: FR3-20250601 - Nauji kliento poreikiai | susitikimų minutės (Pradžia 2025-06-04) | LTG/GO-ERP</t>
        </is>
      </c>
      <c r="E68" t="inlineStr">
        <is>
          <t>Tryliktasis susitikimas su klientu - 2 prioriteto darbų derinimas ir papildomų poreikių iškėlimas</t>
        </is>
      </c>
      <c r="F68" t="n">
        <v>1.5</v>
      </c>
      <c r="G68" t="inlineStr">
        <is>
          <t>Yes</t>
        </is>
      </c>
      <c r="H68">
        <f>+WEEKNUM(A68)</f>
        <v/>
      </c>
      <c r="I68">
        <f>+YEAR(A68)</f>
        <v/>
      </c>
    </row>
    <row r="69">
      <c r="A69" s="1" t="n">
        <v>45929</v>
      </c>
      <c r="B69" t="inlineStr">
        <is>
          <t>GabKoj</t>
        </is>
      </c>
      <c r="C69" t="inlineStr">
        <is>
          <t>Developer</t>
        </is>
      </c>
      <c r="D69" t="inlineStr">
        <is>
          <t>Feature #96242: FR3-SPRINT_1-005 - Queue Items &gt;'Convert To Case' mygtuko pridėjimas</t>
        </is>
      </c>
      <c r="E69" t="inlineStr">
        <is>
          <t>mygtuko pridejimas testavimas</t>
        </is>
      </c>
      <c r="F69" t="n">
        <v>2</v>
      </c>
      <c r="G69" t="inlineStr">
        <is>
          <t>Yes</t>
        </is>
      </c>
      <c r="H69">
        <f>+WEEKNUM(A69)</f>
        <v/>
      </c>
      <c r="I69">
        <f>+YEAR(A69)</f>
        <v/>
      </c>
    </row>
    <row r="70">
      <c r="A70" s="1" t="n">
        <v>45926</v>
      </c>
      <c r="B70" t="inlineStr">
        <is>
          <t>GabKoj</t>
        </is>
      </c>
      <c r="C70" t="inlineStr">
        <is>
          <t>Developer</t>
        </is>
      </c>
      <c r="D70" t="inlineStr">
        <is>
          <t>Feature #96243: FR3-SPRINT_1-006 - Queue Items/Queues - Force refresh rodinio sąrašą su custom kodu</t>
        </is>
      </c>
      <c r="E70" t="inlineStr">
        <is>
          <t>dev</t>
        </is>
      </c>
      <c r="F70" t="n">
        <v>3</v>
      </c>
      <c r="G70" t="inlineStr">
        <is>
          <t>Yes</t>
        </is>
      </c>
      <c r="H70">
        <f>+WEEKNUM(A70)</f>
        <v/>
      </c>
      <c r="I70">
        <f>+YEAR(A70)</f>
        <v/>
      </c>
    </row>
    <row r="71">
      <c r="A71" s="1" t="n">
        <v>45924</v>
      </c>
      <c r="B71" t="inlineStr">
        <is>
          <t>VilMat</t>
        </is>
      </c>
      <c r="C71" t="inlineStr">
        <is>
          <t>Consultant</t>
        </is>
      </c>
      <c r="D71" t="inlineStr">
        <is>
          <t>Feature #90447: FR3-20250601 - Nauji kliento poreikiai | susitikimų minutės (Pradžia 2025-06-04) | LTG/GO-ERP</t>
        </is>
      </c>
      <c r="E71" t="inlineStr">
        <is>
          <t>Antro prioriteto pasiūlytų sprendimo variantų peržiūra prieš susitikimą</t>
        </is>
      </c>
      <c r="F71" t="n">
        <v>0.5</v>
      </c>
      <c r="G71" t="inlineStr">
        <is>
          <t>Yes</t>
        </is>
      </c>
      <c r="H71">
        <f>+WEEKNUM(A71)</f>
        <v/>
      </c>
      <c r="I71">
        <f>+YEAR(A71)</f>
        <v/>
      </c>
    </row>
    <row r="72">
      <c r="A72" s="1" t="n">
        <v>45924</v>
      </c>
      <c r="B72" t="inlineStr">
        <is>
          <t>VilMat</t>
        </is>
      </c>
      <c r="C72" t="inlineStr">
        <is>
          <t>Consultant</t>
        </is>
      </c>
      <c r="D72" t="inlineStr">
        <is>
          <t>Feature #90447: FR3-20250601 - Nauji kliento poreikiai | susitikimų minutės (Pradžia 2025-06-04) | LTG/GO-ERP</t>
        </is>
      </c>
      <c r="E72" t="inlineStr">
        <is>
          <t>SPRINT_2 - Antrasis susitikimas su klientu aptarti 2-o poreikio reikalavimus</t>
        </is>
      </c>
      <c r="F72" t="n">
        <v>1.25</v>
      </c>
      <c r="G72" t="inlineStr">
        <is>
          <t>Yes</t>
        </is>
      </c>
      <c r="H72">
        <f>+WEEKNUM(A72)</f>
        <v/>
      </c>
      <c r="I72">
        <f>+YEAR(A72)</f>
        <v/>
      </c>
    </row>
    <row r="73">
      <c r="A73" s="1" t="n">
        <v>45923</v>
      </c>
      <c r="B73" t="inlineStr">
        <is>
          <t>VilMat</t>
        </is>
      </c>
      <c r="C73" t="inlineStr">
        <is>
          <t>Consultant</t>
        </is>
      </c>
      <c r="D73" t="inlineStr">
        <is>
          <t>Feature #90447: FR3-20250601 - Nauji kliento poreikiai | susitikimų minutės (Pradžia 2025-06-04) | LTG/GO-ERP</t>
        </is>
      </c>
      <c r="E73" t="inlineStr">
        <is>
          <t>SPRINT_2 - Antro prioriteto darbų derinimas su klientu</t>
        </is>
      </c>
      <c r="F73" t="n">
        <v>1</v>
      </c>
      <c r="G73" t="inlineStr">
        <is>
          <t>Yes</t>
        </is>
      </c>
      <c r="H73">
        <f>+WEEKNUM(A73)</f>
        <v/>
      </c>
      <c r="I73">
        <f>+YEAR(A73)</f>
        <v/>
      </c>
    </row>
    <row r="74">
      <c r="A74" s="1" t="n">
        <v>45923</v>
      </c>
      <c r="B74" t="inlineStr">
        <is>
          <t>GabKoj</t>
        </is>
      </c>
      <c r="C74" t="inlineStr">
        <is>
          <t>Developer</t>
        </is>
      </c>
      <c r="D74" t="inlineStr">
        <is>
          <t>Feature #96243: FR3-SPRINT_1-006 - Queue Items/Queues - Force refresh rodinio sąrašą su custom kodu</t>
        </is>
      </c>
      <c r="E74" t="inlineStr">
        <is>
          <t>dev, testing different solutions</t>
        </is>
      </c>
      <c r="F74" t="n">
        <v>4</v>
      </c>
      <c r="G74" t="inlineStr">
        <is>
          <t>Yes</t>
        </is>
      </c>
      <c r="H74">
        <f>+WEEKNUM(A74)</f>
        <v/>
      </c>
      <c r="I74">
        <f>+YEAR(A74)</f>
        <v/>
      </c>
    </row>
    <row r="75">
      <c r="A75" s="1" t="n">
        <v>45922</v>
      </c>
      <c r="B75" t="inlineStr">
        <is>
          <t>GabKoj</t>
        </is>
      </c>
      <c r="C75" t="inlineStr">
        <is>
          <t>Developer</t>
        </is>
      </c>
      <c r="D75" t="inlineStr">
        <is>
          <t>Feature #96243: FR3-SPRINT_1-006 - Queue Items/Queues - Force refresh rodinio sąrašą su custom kodu</t>
        </is>
      </c>
      <c r="E75" t="inlineStr">
        <is>
          <t>analysis, chat with Justas</t>
        </is>
      </c>
      <c r="F75" t="n">
        <v>1.5</v>
      </c>
      <c r="G75" t="inlineStr">
        <is>
          <t>Yes</t>
        </is>
      </c>
      <c r="H75">
        <f>+WEEKNUM(A75)</f>
        <v/>
      </c>
      <c r="I75">
        <f>+YEAR(A75)</f>
        <v/>
      </c>
    </row>
    <row r="76">
      <c r="A76" s="1" t="n">
        <v>45919</v>
      </c>
      <c r="B76" t="inlineStr">
        <is>
          <t>GabKoj</t>
        </is>
      </c>
      <c r="C76" t="inlineStr">
        <is>
          <t>Developer</t>
        </is>
      </c>
      <c r="D76" t="inlineStr">
        <is>
          <t>Feature #96243: FR3-SPRINT_1-006 - Queue Items/Queues - Force refresh rodinio sąrašą su custom kodu</t>
        </is>
      </c>
      <c r="E76" t="inlineStr">
        <is>
          <t>analize, ieskojimas sprendimo</t>
        </is>
      </c>
      <c r="F76" t="n">
        <v>1</v>
      </c>
      <c r="G76" t="inlineStr">
        <is>
          <t>Yes</t>
        </is>
      </c>
      <c r="H76">
        <f>+WEEKNUM(A76)</f>
        <v/>
      </c>
      <c r="I76">
        <f>+YEAR(A76)</f>
        <v/>
      </c>
    </row>
    <row r="77">
      <c r="A77" s="1" t="n">
        <v>45919</v>
      </c>
      <c r="B77" t="inlineStr">
        <is>
          <t>VilMat</t>
        </is>
      </c>
      <c r="C77" t="inlineStr">
        <is>
          <t>Consultant</t>
        </is>
      </c>
      <c r="D77" t="inlineStr">
        <is>
          <t>Feature #90447: FR3-20250601 - Nauji kliento poreikiai | susitikimų minutės (Pradžia 2025-06-04) | LTG/GO-ERP</t>
        </is>
      </c>
      <c r="E77" t="inlineStr">
        <is>
          <t>Suderintų poreikių peržiūra, sisteminimas, komunikacija su klientu pasitikslinimui</t>
        </is>
      </c>
      <c r="F77" t="n">
        <v>2</v>
      </c>
      <c r="G77" t="inlineStr">
        <is>
          <t>Yes</t>
        </is>
      </c>
      <c r="H77">
        <f>+WEEKNUM(A77)</f>
        <v/>
      </c>
      <c r="I77">
        <f>+YEAR(A77)</f>
        <v/>
      </c>
    </row>
    <row r="78">
      <c r="A78" s="1" t="n">
        <v>45919</v>
      </c>
      <c r="B78" t="inlineStr">
        <is>
          <t>VilMat</t>
        </is>
      </c>
      <c r="C78" t="inlineStr">
        <is>
          <t>Consultant</t>
        </is>
      </c>
      <c r="D78" t="inlineStr">
        <is>
          <t>Feature #96239: FR3-SPRINT_1-004 - Accounts &gt; Atsakingų asmenų pasirinkimų praplėtimas</t>
        </is>
      </c>
      <c r="E78" t="inlineStr">
        <is>
          <t>Užduočių kūrimas, aprašymai, specifikacija</t>
        </is>
      </c>
      <c r="F78" t="n">
        <v>1</v>
      </c>
      <c r="G78" t="inlineStr">
        <is>
          <t>Yes</t>
        </is>
      </c>
      <c r="H78">
        <f>+WEEKNUM(A78)</f>
        <v/>
      </c>
      <c r="I78">
        <f>+YEAR(A78)</f>
        <v/>
      </c>
    </row>
    <row r="79">
      <c r="A79" s="1" t="n">
        <v>45919</v>
      </c>
      <c r="B79" t="inlineStr">
        <is>
          <t>VilMat</t>
        </is>
      </c>
      <c r="C79" t="inlineStr">
        <is>
          <t>Consultant</t>
        </is>
      </c>
      <c r="D79" t="inlineStr">
        <is>
          <t xml:space="preserve">Feature #96218: FR3-SPRINT_1-001 - Risk Assessment/Account modulio modifikacijos </t>
        </is>
      </c>
      <c r="E79" t="inlineStr">
        <is>
          <t>Užduočių kūrimas, aprašymai, specifikacija</t>
        </is>
      </c>
      <c r="F79" t="n">
        <v>0.5</v>
      </c>
      <c r="G79" t="inlineStr">
        <is>
          <t>Yes</t>
        </is>
      </c>
      <c r="H79">
        <f>+WEEKNUM(A79)</f>
        <v/>
      </c>
      <c r="I79">
        <f>+YEAR(A79)</f>
        <v/>
      </c>
    </row>
    <row r="80">
      <c r="A80" s="1" t="n">
        <v>45919</v>
      </c>
      <c r="B80" t="inlineStr">
        <is>
          <t>VilMat</t>
        </is>
      </c>
      <c r="C80" t="inlineStr">
        <is>
          <t>Consultant</t>
        </is>
      </c>
      <c r="D80" t="inlineStr">
        <is>
          <t>Feature #96220: FR3-SPRINT_1-002 - Automatiškai uždedamo el.pašto adreso į juodraštinį el.laišką modifikacija</t>
        </is>
      </c>
      <c r="E80" t="inlineStr">
        <is>
          <t>Užduočių kūrimas, aprašymai, specifikacija</t>
        </is>
      </c>
      <c r="F80" t="n">
        <v>1</v>
      </c>
      <c r="G80" t="inlineStr">
        <is>
          <t>Yes</t>
        </is>
      </c>
      <c r="H80">
        <f>+WEEKNUM(A80)</f>
        <v/>
      </c>
      <c r="I80">
        <f>+YEAR(A80)</f>
        <v/>
      </c>
    </row>
    <row r="81">
      <c r="A81" s="1" t="n">
        <v>45919</v>
      </c>
      <c r="B81" t="inlineStr">
        <is>
          <t>VilMat</t>
        </is>
      </c>
      <c r="C81" t="inlineStr">
        <is>
          <t>Consultant</t>
        </is>
      </c>
      <c r="D81" t="inlineStr">
        <is>
          <t>Feature #96243: FR3-SPRINT_1-006 - Queue Items/Queues - Force refresh rodinio sąrašą su custom kodu</t>
        </is>
      </c>
      <c r="E81" t="inlineStr">
        <is>
          <t>pasitarimas su programuotoju</t>
        </is>
      </c>
      <c r="F81" t="n">
        <v>0.5</v>
      </c>
      <c r="G81" t="inlineStr">
        <is>
          <t>Yes</t>
        </is>
      </c>
      <c r="H81">
        <f>+WEEKNUM(A81)</f>
        <v/>
      </c>
      <c r="I81">
        <f>+YEAR(A81)</f>
        <v/>
      </c>
    </row>
    <row r="82">
      <c r="A82" s="1" t="n">
        <v>45919</v>
      </c>
      <c r="B82" t="inlineStr">
        <is>
          <t>VilMat</t>
        </is>
      </c>
      <c r="C82" t="inlineStr">
        <is>
          <t>Consultant</t>
        </is>
      </c>
      <c r="D82" t="inlineStr">
        <is>
          <t>Feature #96243: FR3-SPRINT_1-006 - Queue Items/Queues - Force refresh rodinio sąrašą su custom kodu</t>
        </is>
      </c>
      <c r="E82" t="inlineStr">
        <is>
          <t>Užduočių kūrimas, aprašymai, specifikacija</t>
        </is>
      </c>
      <c r="F82" t="n">
        <v>1</v>
      </c>
      <c r="G82" t="inlineStr">
        <is>
          <t>Yes</t>
        </is>
      </c>
      <c r="H82">
        <f>+WEEKNUM(A82)</f>
        <v/>
      </c>
      <c r="I82">
        <f>+YEAR(A82)</f>
        <v/>
      </c>
    </row>
    <row r="83">
      <c r="A83" s="1" t="n">
        <v>45919</v>
      </c>
      <c r="B83" t="inlineStr">
        <is>
          <t>VilMat</t>
        </is>
      </c>
      <c r="C83" t="inlineStr">
        <is>
          <t>Consultant</t>
        </is>
      </c>
      <c r="D83" t="inlineStr">
        <is>
          <t>Feature #96242: FR3-SPRINT_1-005 - Queue Items &gt;'Convert To Case' mygtuko pridėjimas</t>
        </is>
      </c>
      <c r="E83" t="inlineStr">
        <is>
          <t>Užduočių kūrimas, aprašymai, specifikacija</t>
        </is>
      </c>
      <c r="F83" t="n">
        <v>0.5</v>
      </c>
      <c r="G83" t="inlineStr">
        <is>
          <t>Yes</t>
        </is>
      </c>
      <c r="H83">
        <f>+WEEKNUM(A83)</f>
        <v/>
      </c>
      <c r="I83">
        <f>+YEAR(A83)</f>
        <v/>
      </c>
    </row>
    <row r="84">
      <c r="A84" s="1" t="n">
        <v>45919</v>
      </c>
      <c r="B84" t="inlineStr">
        <is>
          <t>VilMat</t>
        </is>
      </c>
      <c r="C84" t="inlineStr">
        <is>
          <t>Consultant</t>
        </is>
      </c>
      <c r="D84" t="inlineStr">
        <is>
          <t>Feature #96235: FR3-SPRINT_1-003 - Case &gt; Timeline &gt; Notes: Padidinti 'Description' simbolių skaičių iki maksimumo</t>
        </is>
      </c>
      <c r="E84" t="inlineStr">
        <is>
          <t>Užduočių kūrimas, aprašymai, specifikacija</t>
        </is>
      </c>
      <c r="F84" t="n">
        <v>1</v>
      </c>
      <c r="G84" t="inlineStr">
        <is>
          <t>Yes</t>
        </is>
      </c>
      <c r="H84">
        <f>+WEEKNUM(A84)</f>
        <v/>
      </c>
      <c r="I84">
        <f>+YEAR(A84)</f>
        <v/>
      </c>
    </row>
    <row r="85">
      <c r="A85" s="1" t="n">
        <v>45918</v>
      </c>
      <c r="B85" t="inlineStr">
        <is>
          <t>VilMat</t>
        </is>
      </c>
      <c r="C85" t="inlineStr">
        <is>
          <t>Project management</t>
        </is>
      </c>
      <c r="D85" t="inlineStr">
        <is>
          <t>Support #65707: Administravimas ir darbų koordinavimas</t>
        </is>
      </c>
      <c r="E85" t="inlineStr">
        <is>
          <t>Papildomų susitikimų apžvelgti naudojamą sistemą ir galimus naujus funkcionalumus derinimas su Egle. (Eglės iniciatyva)</t>
        </is>
      </c>
      <c r="F85" t="n">
        <v>0.25</v>
      </c>
      <c r="G85" t="inlineStr">
        <is>
          <t>Yes</t>
        </is>
      </c>
      <c r="H85">
        <f>+WEEKNUM(A85)</f>
        <v/>
      </c>
      <c r="I85">
        <f>+YEAR(A85)</f>
        <v/>
      </c>
    </row>
    <row r="86">
      <c r="A86" s="1" t="n">
        <v>45918</v>
      </c>
      <c r="B86" t="inlineStr">
        <is>
          <t>VilMat</t>
        </is>
      </c>
      <c r="C86" t="inlineStr">
        <is>
          <t>Consultant</t>
        </is>
      </c>
      <c r="D86" t="inlineStr">
        <is>
          <t>Feature #90447: FR3-20250601 - Nauji kliento poreikiai | susitikimų minutės (Pradžia 2025-06-04) | LTG/GO-ERP</t>
        </is>
      </c>
      <c r="E86" t="inlineStr">
        <is>
          <t>Antro ir trečio prioritetų aptarimo laiko derinimas su Egle</t>
        </is>
      </c>
      <c r="F86" t="n">
        <v>0.5</v>
      </c>
      <c r="G86" t="inlineStr">
        <is>
          <t>Yes</t>
        </is>
      </c>
      <c r="H86">
        <f>+WEEKNUM(A86)</f>
        <v/>
      </c>
      <c r="I86">
        <f>+YEAR(A86)</f>
        <v/>
      </c>
    </row>
    <row r="87">
      <c r="A87" s="1" t="n">
        <v>45918</v>
      </c>
      <c r="B87" t="inlineStr">
        <is>
          <t>VilMat</t>
        </is>
      </c>
      <c r="C87" t="inlineStr">
        <is>
          <t>Consultant</t>
        </is>
      </c>
      <c r="D87" t="inlineStr">
        <is>
          <t>Feature #90447: FR3-20250601 - Nauji kliento poreikiai | susitikimų minutės (Pradžia 2025-06-04) | LTG/GO-ERP</t>
        </is>
      </c>
      <c r="E87" t="inlineStr">
        <is>
          <t>Užduoties administravimas - naujausių detalių užfiksavimas, informacijos atnaujinimas, susijusių dokumentų ir laiškų prisegimas</t>
        </is>
      </c>
      <c r="F87" t="n">
        <v>0.75</v>
      </c>
      <c r="G87" t="inlineStr">
        <is>
          <t>Yes</t>
        </is>
      </c>
      <c r="H87">
        <f>+WEEKNUM(A87)</f>
        <v/>
      </c>
      <c r="I87">
        <f>+YEAR(A87)</f>
        <v/>
      </c>
    </row>
    <row r="88">
      <c r="A88" s="1" t="n">
        <v>45918</v>
      </c>
      <c r="B88" t="inlineStr">
        <is>
          <t>VilMat</t>
        </is>
      </c>
      <c r="C88" t="inlineStr">
        <is>
          <t>Consultant</t>
        </is>
      </c>
      <c r="D88" t="inlineStr">
        <is>
          <t>Feature #96064: FR1-20250625-002 - CRM/KIWI integracija - Galimybės atverti CRM kortelę iš MS pusės</t>
        </is>
      </c>
      <c r="E88" t="inlineStr">
        <is>
          <t>Skambutis su klientu pateikti išvadas apie galimus funkcinius variantus iš MS pusės bei kokios yra alternatyvos</t>
        </is>
      </c>
      <c r="F88" t="n">
        <v>0.75</v>
      </c>
      <c r="G88" t="inlineStr">
        <is>
          <t>Yes</t>
        </is>
      </c>
      <c r="H88">
        <f>+WEEKNUM(A88)</f>
        <v/>
      </c>
      <c r="I88">
        <f>+YEAR(A88)</f>
        <v/>
      </c>
    </row>
    <row r="89">
      <c r="A89" s="1" t="n">
        <v>45918</v>
      </c>
      <c r="B89" t="inlineStr">
        <is>
          <t>VilMat</t>
        </is>
      </c>
      <c r="C89" t="inlineStr">
        <is>
          <t>Consultant</t>
        </is>
      </c>
      <c r="D89" t="inlineStr">
        <is>
          <t>Feature #90447: FR3-20250601 - Nauji kliento poreikiai | susitikimų minutės (Pradžia 2025-06-04) | LTG/GO-ERP</t>
        </is>
      </c>
      <c r="E89" t="inlineStr">
        <is>
          <t>Susižiūrėti poreikių aptarimo video įrašus, susikomunikuoti su Egle prieigoms per crmservice vartotoją.</t>
        </is>
      </c>
      <c r="F89" t="n">
        <v>0.5</v>
      </c>
      <c r="G89" t="inlineStr">
        <is>
          <t>Yes</t>
        </is>
      </c>
      <c r="H89">
        <f>+WEEKNUM(A89)</f>
        <v/>
      </c>
      <c r="I89">
        <f>+YEAR(A89)</f>
        <v/>
      </c>
    </row>
    <row r="90">
      <c r="A90" s="1" t="n">
        <v>45917</v>
      </c>
      <c r="B90" t="inlineStr">
        <is>
          <t>EdgMur</t>
        </is>
      </c>
      <c r="C90" t="inlineStr">
        <is>
          <t>Developer</t>
        </is>
      </c>
      <c r="D90" t="inlineStr">
        <is>
          <t>Feature #96064: FR1-20250625-002 - CRM/KIWI integracija - Galimybės atverti CRM kortelę iš MS pusės</t>
        </is>
      </c>
      <c r="E90" t="inlineStr">
        <is>
          <t>vidinis aptarimas</t>
        </is>
      </c>
      <c r="F90" t="n">
        <v>0.5</v>
      </c>
      <c r="G90" t="inlineStr">
        <is>
          <t>Yes</t>
        </is>
      </c>
      <c r="H90">
        <f>+WEEKNUM(A90)</f>
        <v/>
      </c>
      <c r="I90">
        <f>+YEAR(A90)</f>
        <v/>
      </c>
    </row>
    <row r="91">
      <c r="A91" s="1" t="n">
        <v>45917</v>
      </c>
      <c r="B91" t="inlineStr">
        <is>
          <t>VilMat</t>
        </is>
      </c>
      <c r="C91" t="inlineStr">
        <is>
          <t>Consultant</t>
        </is>
      </c>
      <c r="D91" t="inlineStr">
        <is>
          <t>Feature #90447: FR3-20250601 - Nauji kliento poreikiai | susitikimų minutės (Pradžia 2025-06-04) | LTG/GO-ERP</t>
        </is>
      </c>
      <c r="E91" t="inlineStr">
        <is>
          <t>Suderintų 1-o prioriteto poreikių excelio peržiūra, papildomų iškeltų poreikių vertinimas ir architektūravimas sistemos atžvilgiu. Excel dokumento atnaujinimas ir perdavimas klientui.</t>
        </is>
      </c>
      <c r="F91" t="n">
        <v>7</v>
      </c>
      <c r="G91" t="inlineStr">
        <is>
          <t>Yes</t>
        </is>
      </c>
      <c r="H91">
        <f>+WEEKNUM(A91)</f>
        <v/>
      </c>
      <c r="I91">
        <f>+YEAR(A91)</f>
        <v/>
      </c>
    </row>
    <row r="92">
      <c r="A92" s="1" t="n">
        <v>45917</v>
      </c>
      <c r="B92" t="inlineStr">
        <is>
          <t>VilMat</t>
        </is>
      </c>
      <c r="C92" t="inlineStr">
        <is>
          <t>Consultant</t>
        </is>
      </c>
      <c r="D92" t="inlineStr">
        <is>
          <t>Feature #96064: FR1-20250625-002 - CRM/KIWI integracija - Galimybės atverti CRM kortelę iš MS pusės</t>
        </is>
      </c>
      <c r="E92" t="inlineStr">
        <is>
          <t>Išvadų aptarimas su Edgar, informacijos užfiksavimas užduotyje</t>
        </is>
      </c>
      <c r="F92" t="n">
        <v>0.5</v>
      </c>
      <c r="G92" t="inlineStr">
        <is>
          <t>Yes</t>
        </is>
      </c>
      <c r="H92">
        <f>+WEEKNUM(A92)</f>
        <v/>
      </c>
      <c r="I92">
        <f>+YEAR(A92)</f>
        <v/>
      </c>
    </row>
    <row r="93">
      <c r="A93" s="1" t="n">
        <v>45916</v>
      </c>
      <c r="B93" t="inlineStr">
        <is>
          <t>EdgMur</t>
        </is>
      </c>
      <c r="C93" t="inlineStr">
        <is>
          <t>Developer</t>
        </is>
      </c>
      <c r="D93" t="inlineStr">
        <is>
          <t>Feature #96064: FR1-20250625-002 - CRM/KIWI integracija - Galimybės atverti CRM kortelę iš MS pusės</t>
        </is>
      </c>
      <c r="E93" t="inlineStr">
        <is>
          <t>analizė ir vidinis aptarimas</t>
        </is>
      </c>
      <c r="F93" t="n">
        <v>0.5</v>
      </c>
      <c r="G93" t="inlineStr">
        <is>
          <t>Yes</t>
        </is>
      </c>
      <c r="H93">
        <f>+WEEKNUM(A93)</f>
        <v/>
      </c>
      <c r="I93">
        <f>+YEAR(A93)</f>
        <v/>
      </c>
    </row>
    <row r="94">
      <c r="A94" s="1" t="n">
        <v>45916</v>
      </c>
      <c r="B94" t="inlineStr">
        <is>
          <t>GabKoj</t>
        </is>
      </c>
      <c r="C94" t="inlineStr">
        <is>
          <t>Developer</t>
        </is>
      </c>
      <c r="D94" t="inlineStr">
        <is>
          <t>Feature #96064: FR1-20250625-002 - CRM/KIWI integracija - Galimybės atverti CRM kortelę iš MS pusės</t>
        </is>
      </c>
      <c r="E94" t="inlineStr">
        <is>
          <t>skambutis su klientu/vidinis skambutis diskusijai</t>
        </is>
      </c>
      <c r="F94" t="n">
        <v>1.5</v>
      </c>
      <c r="G94" t="inlineStr">
        <is>
          <t>Yes</t>
        </is>
      </c>
      <c r="H94">
        <f>+WEEKNUM(A94)</f>
        <v/>
      </c>
      <c r="I94">
        <f>+YEAR(A94)</f>
        <v/>
      </c>
    </row>
    <row r="95">
      <c r="A95" s="1" t="n">
        <v>45916</v>
      </c>
      <c r="B95" t="inlineStr">
        <is>
          <t>VilMat</t>
        </is>
      </c>
      <c r="C95" t="inlineStr">
        <is>
          <t>Consultant</t>
        </is>
      </c>
      <c r="D95" t="inlineStr">
        <is>
          <t>Feature #96064: FR1-20250625-002 - CRM/KIWI integracija - Galimybės atverti CRM kortelę iš MS pusės</t>
        </is>
      </c>
      <c r="E95" t="inlineStr">
        <is>
          <t xml:space="preserve">Vidinė diskusija su Gabrieliumi, Edgar M., dėl galimybių, rizikų ir apribojimų pakelti CRM kortelę iš MS pusės </t>
        </is>
      </c>
      <c r="F95" t="n">
        <v>1</v>
      </c>
      <c r="G95" t="inlineStr">
        <is>
          <t>Yes</t>
        </is>
      </c>
      <c r="H95">
        <f>+WEEKNUM(A95)</f>
        <v/>
      </c>
      <c r="I95">
        <f>+YEAR(A95)</f>
        <v/>
      </c>
    </row>
    <row r="96">
      <c r="A96" s="1" t="n">
        <v>45916</v>
      </c>
      <c r="B96" t="inlineStr">
        <is>
          <t>VilMat</t>
        </is>
      </c>
      <c r="C96" t="inlineStr">
        <is>
          <t>Consultant</t>
        </is>
      </c>
      <c r="D96" t="inlineStr">
        <is>
          <t>Feature #96064: FR1-20250625-002 - CRM/KIWI integracija - Galimybės atverti CRM kortelę iš MS pusės</t>
        </is>
      </c>
      <c r="E96" t="inlineStr">
        <is>
          <t>Skambutis su klientu (Egidijus ir Aurimas(architektas)) - CRM skambučio kortelės pakėlimo galimybės iš MS pusės</t>
        </is>
      </c>
      <c r="F96" t="n">
        <v>0.5</v>
      </c>
      <c r="G96" t="inlineStr">
        <is>
          <t>Yes</t>
        </is>
      </c>
      <c r="H96">
        <f>+WEEKNUM(A96)</f>
        <v/>
      </c>
      <c r="I96">
        <f>+YEAR(A96)</f>
        <v/>
      </c>
    </row>
    <row r="97">
      <c r="A97" s="1" t="n">
        <v>45912</v>
      </c>
      <c r="B97" t="inlineStr">
        <is>
          <t>VilMat</t>
        </is>
      </c>
      <c r="C97" t="inlineStr">
        <is>
          <t>Consultant</t>
        </is>
      </c>
      <c r="D97" t="inlineStr">
        <is>
          <t>Feature #90447: FR3-20250601 - Nauji kliento poreikiai | susitikimų minutės (Pradžia 2025-06-04) | LTG/GO-ERP</t>
        </is>
      </c>
      <c r="E97" t="inlineStr">
        <is>
          <t>Susitikimas su klientu(Eglė, Egidijus) - Pirmo prioriteto darbų aptarimas ir pasitvirtinimas dėl papildomų pokyčių.</t>
        </is>
      </c>
      <c r="F97" t="n">
        <v>2</v>
      </c>
      <c r="G97" t="inlineStr">
        <is>
          <t>Yes</t>
        </is>
      </c>
      <c r="H97">
        <f>+WEEKNUM(A97)</f>
        <v/>
      </c>
      <c r="I97">
        <f>+YEAR(A97)</f>
        <v/>
      </c>
    </row>
    <row r="98">
      <c r="A98" s="1" t="n">
        <v>45910</v>
      </c>
      <c r="B98" t="inlineStr">
        <is>
          <t>GabKoj</t>
        </is>
      </c>
      <c r="C98" t="inlineStr">
        <is>
          <t>Developer</t>
        </is>
      </c>
      <c r="D98" t="inlineStr">
        <is>
          <t>Feature #90447: FR3-20250601 - Nauji kliento poreikiai | susitikimų minutės (Pradžia 2025-06-04) | LTG/GO-ERP</t>
        </is>
      </c>
      <c r="E98" t="inlineStr">
        <is>
          <t>susitikimas su klientu</t>
        </is>
      </c>
      <c r="F98" t="n">
        <v>1.25</v>
      </c>
      <c r="G98" t="inlineStr">
        <is>
          <t>Yes</t>
        </is>
      </c>
      <c r="H98">
        <f>+WEEKNUM(A98)</f>
        <v/>
      </c>
      <c r="I98">
        <f>+YEAR(A98)</f>
        <v/>
      </c>
    </row>
    <row r="99">
      <c r="A99" s="1" t="n">
        <v>45910</v>
      </c>
      <c r="B99" t="inlineStr">
        <is>
          <t>GabKoj</t>
        </is>
      </c>
      <c r="C99" t="inlineStr">
        <is>
          <t>Developer</t>
        </is>
      </c>
      <c r="D99" t="inlineStr">
        <is>
          <t>Feature #90447: FR3-20250601 - Nauji kliento poreikiai | susitikimų minutės (Pradžia 2025-06-04) | LTG/GO-ERP</t>
        </is>
      </c>
      <c r="E99" t="inlineStr">
        <is>
          <t>vidinis susitikimas su Vilintu</t>
        </is>
      </c>
      <c r="F99" t="n">
        <v>0.5</v>
      </c>
      <c r="G99" t="inlineStr">
        <is>
          <t>Yes</t>
        </is>
      </c>
      <c r="H99">
        <f>+WEEKNUM(A99)</f>
        <v/>
      </c>
      <c r="I99">
        <f>+YEAR(A99)</f>
        <v/>
      </c>
    </row>
    <row r="100">
      <c r="A100" s="1" t="n">
        <v>45910</v>
      </c>
      <c r="B100" t="inlineStr">
        <is>
          <t>VilMat</t>
        </is>
      </c>
      <c r="C100" t="inlineStr">
        <is>
          <t>Consultant</t>
        </is>
      </c>
      <c r="D100" t="inlineStr">
        <is>
          <t>Feature #90447: FR3-20250601 - Nauji kliento poreikiai | susitikimų minutės (Pradžia 2025-06-04) | LTG/GO-ERP</t>
        </is>
      </c>
      <c r="E100" t="inlineStr">
        <is>
          <t>VIDINIS: Su Gabrieliumi prieš susitikimą - peržiūra funkcijos dedamųjų, formulių logikos, susiję flow procesai.</t>
        </is>
      </c>
      <c r="F100" t="n">
        <v>0.5</v>
      </c>
      <c r="G100" t="inlineStr">
        <is>
          <t>Yes</t>
        </is>
      </c>
      <c r="H100">
        <f>+WEEKNUM(A100)</f>
        <v/>
      </c>
      <c r="I100">
        <f>+YEAR(A100)</f>
        <v/>
      </c>
    </row>
    <row r="101">
      <c r="A101" s="1" t="n">
        <v>45910</v>
      </c>
      <c r="B101" t="inlineStr">
        <is>
          <t>VilMat</t>
        </is>
      </c>
      <c r="C101" t="inlineStr">
        <is>
          <t>Consultant</t>
        </is>
      </c>
      <c r="D101" t="inlineStr">
        <is>
          <t>Feature #90447: FR3-20250601 - Nauji kliento poreikiai | susitikimų minutės (Pradžia 2025-06-04) | LTG/GO-ERP</t>
        </is>
      </c>
      <c r="E101" t="inlineStr">
        <is>
          <t>Užklausų (case) SLA veikimo principas, diskusija dėl veikimo principo, keliami poreikiai pakeitimams, kur rasti susijusias lenteles, kaip pertvarkyti užklausos SLA skirtuką, susijusių sub-lentelių atvaizdavimus.</t>
        </is>
      </c>
      <c r="F101" t="n">
        <v>2</v>
      </c>
      <c r="G101" t="inlineStr">
        <is>
          <t>Yes</t>
        </is>
      </c>
      <c r="H101">
        <f>+WEEKNUM(A101)</f>
        <v/>
      </c>
      <c r="I101">
        <f>+YEAR(A101)</f>
        <v/>
      </c>
    </row>
    <row r="102">
      <c r="A102" s="1" t="n">
        <v>45903</v>
      </c>
      <c r="B102" t="inlineStr">
        <is>
          <t>VilMat</t>
        </is>
      </c>
      <c r="C102" t="inlineStr">
        <is>
          <t>Project management</t>
        </is>
      </c>
      <c r="D102" t="inlineStr">
        <is>
          <t>Support #65707: Administravimas ir darbų koordinavimas</t>
        </is>
      </c>
      <c r="E102" t="inlineStr">
        <is>
          <t>Užduočių sužiūrėjimas, statusų, datų, info atnaujinimas</t>
        </is>
      </c>
      <c r="F102" t="n">
        <v>0.5</v>
      </c>
      <c r="G102" t="inlineStr">
        <is>
          <t>Yes</t>
        </is>
      </c>
      <c r="H102">
        <f>+WEEKNUM(A102)</f>
        <v/>
      </c>
      <c r="I102">
        <f>+YEAR(A102)</f>
        <v/>
      </c>
    </row>
    <row r="103">
      <c r="A103" s="1" t="n">
        <v>45903</v>
      </c>
      <c r="B103" t="inlineStr">
        <is>
          <t>VilMat</t>
        </is>
      </c>
      <c r="C103" t="inlineStr">
        <is>
          <t>Project management</t>
        </is>
      </c>
      <c r="D103" t="inlineStr">
        <is>
          <t>Support #65707: Administravimas ir darbų koordinavimas</t>
        </is>
      </c>
      <c r="E103" t="inlineStr">
        <is>
          <t>Skambutis su Egidijumi - Atvirų klausimų suvaldymo ir sekančių žingsnių sutarimas, papildomų darbų vertinimo apimtys biudžetavimuisi</t>
        </is>
      </c>
      <c r="F103" t="n">
        <v>0.5</v>
      </c>
      <c r="G103" t="inlineStr">
        <is>
          <t>Yes</t>
        </is>
      </c>
      <c r="H103">
        <f>+WEEKNUM(A103)</f>
        <v/>
      </c>
      <c r="I103">
        <f>+YEAR(A103)</f>
        <v/>
      </c>
    </row>
    <row r="104">
      <c r="A104" s="1" t="n">
        <v>45903</v>
      </c>
      <c r="B104" t="inlineStr">
        <is>
          <t>VilMat</t>
        </is>
      </c>
      <c r="C104" t="inlineStr">
        <is>
          <t>Consultant</t>
        </is>
      </c>
      <c r="D104" t="inlineStr">
        <is>
          <t>Feature #90447: FR3-20250601 - Nauji kliento poreikiai | susitikimų minutės (Pradžia 2025-06-04) | LTG/GO-ERP</t>
        </is>
      </c>
      <c r="E104" t="inlineStr">
        <is>
          <t>Susitikimas su klientu (4) - Pateiktų poreikių potencialių įgyvendinimo galimybių aptarimas per kiekvieną punktą, funkcinio įgyvendinimo apimtiems tvirtinimas iš kliento pusės.</t>
        </is>
      </c>
      <c r="F104" t="n">
        <v>1.5</v>
      </c>
      <c r="G104" t="inlineStr">
        <is>
          <t>Yes</t>
        </is>
      </c>
      <c r="H104">
        <f>+WEEKNUM(A104)</f>
        <v/>
      </c>
      <c r="I104">
        <f>+YEAR(A104)</f>
        <v/>
      </c>
    </row>
    <row r="105">
      <c r="A105" s="1" t="n">
        <v>45902</v>
      </c>
      <c r="B105" t="inlineStr">
        <is>
          <t>VilMat</t>
        </is>
      </c>
      <c r="C105" t="inlineStr">
        <is>
          <t>Consultant</t>
        </is>
      </c>
      <c r="D105" t="inlineStr">
        <is>
          <t>Feature #90447: FR3-20250601 - Nauji kliento poreikiai | susitikimų minutės (Pradžia 2025-06-04) | LTG/GO-ERP</t>
        </is>
      </c>
      <c r="E105" t="inlineStr">
        <is>
          <t>Susitikimas su klientu - Pateiktų poreikių potencialių įgyvendinimo galimybių aptarimas per kiekvieną punktą, funkcinio įgyvendinimo apimtiems tvirtinimas iš kliento pusės.</t>
        </is>
      </c>
      <c r="F105" t="n">
        <v>3</v>
      </c>
      <c r="G105" t="inlineStr">
        <is>
          <t>Yes</t>
        </is>
      </c>
      <c r="H105">
        <f>+WEEKNUM(A105)</f>
        <v/>
      </c>
      <c r="I105">
        <f>+YEAR(A105)</f>
        <v/>
      </c>
    </row>
    <row r="106">
      <c r="A106" s="1" t="n">
        <v>45898</v>
      </c>
      <c r="B106" t="inlineStr">
        <is>
          <t>VilMat</t>
        </is>
      </c>
      <c r="C106" t="inlineStr">
        <is>
          <t>Consultant</t>
        </is>
      </c>
      <c r="D106" t="inlineStr">
        <is>
          <t>Feature #91466: FR1-20250625-001 - Funkcinio-techninio projektavimo dokumento paruošimas ir perdavimas klientui (KIWI Integracija)</t>
        </is>
      </c>
      <c r="E106" t="inlineStr">
        <is>
          <t>Dokumento korekcijos, papildymai, schemų perbraižymas</t>
        </is>
      </c>
      <c r="F106" t="n">
        <v>3</v>
      </c>
      <c r="G106" t="inlineStr">
        <is>
          <t>Yes</t>
        </is>
      </c>
      <c r="H106">
        <f>+WEEKNUM(A106)</f>
        <v/>
      </c>
      <c r="I106">
        <f>+YEAR(A106)</f>
        <v/>
      </c>
    </row>
    <row r="107">
      <c r="A107" s="1" t="n">
        <v>45897</v>
      </c>
      <c r="B107" t="inlineStr">
        <is>
          <t>VilMat</t>
        </is>
      </c>
      <c r="C107" t="inlineStr">
        <is>
          <t>Consultant</t>
        </is>
      </c>
      <c r="D107" t="inlineStr">
        <is>
          <t>Feature #91466: FR1-20250625-001 - Funkcinio-techninio projektavimo dokumento paruošimas ir perdavimas klientui (KIWI Integracija)</t>
        </is>
      </c>
      <c r="E107" t="inlineStr">
        <is>
          <t>Dokumento korekcijos, papildomų punktų išskyrimas, dizaino formatavimas</t>
        </is>
      </c>
      <c r="F107" t="n">
        <v>1.5</v>
      </c>
      <c r="G107" t="inlineStr">
        <is>
          <t>Yes</t>
        </is>
      </c>
      <c r="H107">
        <f>+WEEKNUM(A107)</f>
        <v/>
      </c>
      <c r="I107">
        <f>+YEAR(A107)</f>
        <v/>
      </c>
    </row>
    <row r="108">
      <c r="A108" s="1" t="n">
        <v>45897</v>
      </c>
      <c r="B108" t="inlineStr">
        <is>
          <t>VilMat</t>
        </is>
      </c>
      <c r="C108" t="inlineStr">
        <is>
          <t>Consultant</t>
        </is>
      </c>
      <c r="D108" t="inlineStr">
        <is>
          <t>Feature #90447: FR3-20250601 - Nauji kliento poreikiai | susitikimų minutės (Pradžia 2025-06-04) | LTG/GO-ERP</t>
        </is>
      </c>
      <c r="E108" t="inlineStr">
        <is>
          <t>Susitikimas su klientu - Pateiktų poreikių potencialių įgyvendinimo galimybių aptarimas per kiekvieną punktą, funkcinio įgyvendinimo apimtiems tvirtinimas iš kliento pusės.</t>
        </is>
      </c>
      <c r="F108" t="n">
        <v>1.5</v>
      </c>
      <c r="G108" t="inlineStr">
        <is>
          <t>Yes</t>
        </is>
      </c>
      <c r="H108">
        <f>+WEEKNUM(A108)</f>
        <v/>
      </c>
      <c r="I108">
        <f>+YEAR(A108)</f>
        <v/>
      </c>
    </row>
    <row r="109">
      <c r="A109" s="1" t="n">
        <v>45896</v>
      </c>
      <c r="B109" t="inlineStr">
        <is>
          <t>VilMat</t>
        </is>
      </c>
      <c r="C109" t="inlineStr">
        <is>
          <t>Consultant</t>
        </is>
      </c>
      <c r="D109" t="inlineStr">
        <is>
          <t>Feature #90447: FR3-20250601 - Nauji kliento poreikiai | susitikimų minutės (Pradžia 2025-06-04) | LTG/GO-ERP</t>
        </is>
      </c>
      <c r="E109" t="inlineStr">
        <is>
          <t>MS Teams susitikimas su klientu aptarti paskutinius komentarus 1-o prioriteto darbams (Eglė, Egidijus, Vilintas, Ilona)</t>
        </is>
      </c>
      <c r="F109" t="n">
        <v>1.5</v>
      </c>
      <c r="G109" t="inlineStr">
        <is>
          <t>Yes</t>
        </is>
      </c>
      <c r="H109">
        <f>+WEEKNUM(A109)</f>
        <v/>
      </c>
      <c r="I109">
        <f>+YEAR(A109)</f>
        <v/>
      </c>
    </row>
    <row r="110">
      <c r="A110" s="1" t="n">
        <v>45896</v>
      </c>
      <c r="B110" t="inlineStr">
        <is>
          <t>VilMat</t>
        </is>
      </c>
      <c r="C110" t="inlineStr">
        <is>
          <t>Consultant</t>
        </is>
      </c>
      <c r="D110" t="inlineStr">
        <is>
          <t>Feature #90447: FR3-20250601 - Nauji kliento poreikiai | susitikimų minutės (Pradžia 2025-06-04) | LTG/GO-ERP</t>
        </is>
      </c>
      <c r="E110" t="inlineStr">
        <is>
          <t>Informacijos papildymas excel dokumente, perdavimas klientui</t>
        </is>
      </c>
      <c r="F110" t="n">
        <v>0.5</v>
      </c>
      <c r="G110" t="inlineStr">
        <is>
          <t>Yes</t>
        </is>
      </c>
      <c r="H110">
        <f>+WEEKNUM(A110)</f>
        <v/>
      </c>
      <c r="I110">
        <f>+YEAR(A110)</f>
        <v/>
      </c>
    </row>
    <row r="111">
      <c r="A111" s="1" t="n">
        <v>45895</v>
      </c>
      <c r="B111" t="inlineStr">
        <is>
          <t>GabKoj</t>
        </is>
      </c>
      <c r="C111" t="inlineStr">
        <is>
          <t>Developer</t>
        </is>
      </c>
      <c r="D111" t="inlineStr">
        <is>
          <t>Feature #90447: FR3-20250601 - Nauji kliento poreikiai | susitikimų minutės (Pradžia 2025-06-04) | LTG/GO-ERP</t>
        </is>
      </c>
      <c r="E111" t="inlineStr">
        <is>
          <t>calls with Vilintas</t>
        </is>
      </c>
      <c r="F111" t="n">
        <v>2.5</v>
      </c>
      <c r="G111" t="inlineStr">
        <is>
          <t>Yes</t>
        </is>
      </c>
      <c r="H111">
        <f>+WEEKNUM(A111)</f>
        <v/>
      </c>
      <c r="I111">
        <f>+YEAR(A111)</f>
        <v/>
      </c>
    </row>
    <row r="112">
      <c r="A112" s="1" t="n">
        <v>45895</v>
      </c>
      <c r="B112" t="inlineStr">
        <is>
          <t>VilMat</t>
        </is>
      </c>
      <c r="C112" t="inlineStr">
        <is>
          <t>Consultant</t>
        </is>
      </c>
      <c r="D112" t="inlineStr">
        <is>
          <t>Feature #90447: FR3-20250601 - Nauji kliento poreikiai | susitikimų minutės (Pradžia 2025-06-04) | LTG/GO-ERP</t>
        </is>
      </c>
      <c r="E112" t="inlineStr">
        <is>
          <t>Galimų funkcinių įgyvendinimų peržiūra ir prasitestavimas kartu su programuotoju(Gabrielius)</t>
        </is>
      </c>
      <c r="F112" t="n">
        <v>1.5</v>
      </c>
      <c r="G112" t="inlineStr">
        <is>
          <t>Yes</t>
        </is>
      </c>
      <c r="H112">
        <f>+WEEKNUM(A112)</f>
        <v/>
      </c>
      <c r="I112">
        <f>+YEAR(A112)</f>
        <v/>
      </c>
    </row>
    <row r="113">
      <c r="A113" s="1" t="n">
        <v>45890</v>
      </c>
      <c r="B113" t="inlineStr">
        <is>
          <t>LauSta</t>
        </is>
      </c>
      <c r="C113" t="inlineStr">
        <is>
          <t>Meeting</t>
        </is>
      </c>
      <c r="D113" t="inlineStr">
        <is>
          <t>Support #94099: LTG INFRA/LINK testuotojų mokymai - dalyvavimo minutės</t>
        </is>
      </c>
      <c r="E113" t="inlineStr">
        <is>
          <t>Link CRM naudotojų mokymai II dalis</t>
        </is>
      </c>
      <c r="F113" t="n">
        <v>2</v>
      </c>
      <c r="G113" t="inlineStr">
        <is>
          <t>No</t>
        </is>
      </c>
      <c r="H113">
        <f>+WEEKNUM(A113)</f>
        <v/>
      </c>
      <c r="I113">
        <f>+YEAR(A113)</f>
        <v/>
      </c>
    </row>
    <row r="114">
      <c r="A114" s="1" t="n">
        <v>45890</v>
      </c>
      <c r="B114" t="inlineStr">
        <is>
          <t>VilMat</t>
        </is>
      </c>
      <c r="C114" t="inlineStr">
        <is>
          <t>Consultant</t>
        </is>
      </c>
      <c r="D114" t="inlineStr">
        <is>
          <t>Support #94099: LTG INFRA/LINK testuotojų mokymai - dalyvavimo minutės</t>
        </is>
      </c>
      <c r="E114" t="inlineStr">
        <is>
          <t>Overtime - LINK CRM testuotojų mokymai (2dalis)</t>
        </is>
      </c>
      <c r="F114" t="n">
        <v>2</v>
      </c>
      <c r="G114" t="inlineStr">
        <is>
          <t>Yes</t>
        </is>
      </c>
      <c r="H114">
        <f>+WEEKNUM(A114)</f>
        <v/>
      </c>
      <c r="I114">
        <f>+YEAR(A114)</f>
        <v/>
      </c>
    </row>
    <row r="115">
      <c r="A115" s="1" t="n">
        <v>45889</v>
      </c>
      <c r="B115" t="inlineStr">
        <is>
          <t>GabKoj</t>
        </is>
      </c>
      <c r="C115" t="inlineStr">
        <is>
          <t>Developer</t>
        </is>
      </c>
      <c r="D115" t="inlineStr">
        <is>
          <t>Feature #91466: FR1-20250625-001 - Funkcinio-techninio projektavimo dokumento paruošimas ir perdavimas klientui (KIWI Integracija)</t>
        </is>
      </c>
      <c r="E115" t="inlineStr">
        <is>
          <t>vidinis call su Justu ir Vilintu</t>
        </is>
      </c>
      <c r="F115" t="n">
        <v>0.75</v>
      </c>
      <c r="G115" t="inlineStr">
        <is>
          <t>Yes</t>
        </is>
      </c>
      <c r="H115">
        <f>+WEEKNUM(A115)</f>
        <v/>
      </c>
      <c r="I115">
        <f>+YEAR(A115)</f>
        <v/>
      </c>
    </row>
    <row r="116">
      <c r="A116" s="1" t="n">
        <v>45889</v>
      </c>
      <c r="B116" t="inlineStr">
        <is>
          <t>VilMat</t>
        </is>
      </c>
      <c r="C116" t="inlineStr">
        <is>
          <t>Consultant</t>
        </is>
      </c>
      <c r="D116" t="inlineStr">
        <is>
          <t>Feature #91466: FR1-20250625-001 - Funkcinio-techninio projektavimo dokumento paruošimas ir perdavimas klientui (KIWI Integracija)</t>
        </is>
      </c>
      <c r="E116" t="inlineStr">
        <is>
          <t>VIDINIS: Justas, Gabrielius, Vilintas - Išoriniai extensions, kuriais būtų galima pasinaudoti iškviečiant naują tab'ą vartotojui su CRM įrašu.</t>
        </is>
      </c>
      <c r="F116" t="n">
        <v>0.75</v>
      </c>
      <c r="G116" t="inlineStr">
        <is>
          <t>Yes</t>
        </is>
      </c>
      <c r="H116">
        <f>+WEEKNUM(A116)</f>
        <v/>
      </c>
      <c r="I116">
        <f>+YEAR(A116)</f>
        <v/>
      </c>
    </row>
    <row r="117">
      <c r="A117" s="1" t="n">
        <v>45889</v>
      </c>
      <c r="B117" t="inlineStr">
        <is>
          <t>VilMat</t>
        </is>
      </c>
      <c r="C117" t="inlineStr">
        <is>
          <t>Consultant</t>
        </is>
      </c>
      <c r="D117" t="inlineStr">
        <is>
          <t>Feature #91466: FR1-20250625-001 - Funkcinio-techninio projektavimo dokumento paruošimas ir perdavimas klientui (KIWI Integracija)</t>
        </is>
      </c>
      <c r="E117" t="inlineStr">
        <is>
          <t>Komunikacija su KiwiCONTACT atstovu dėl atvirų integracijos klausimų</t>
        </is>
      </c>
      <c r="F117" t="n">
        <v>0.5</v>
      </c>
      <c r="G117" t="inlineStr">
        <is>
          <t>Yes</t>
        </is>
      </c>
      <c r="H117">
        <f>+WEEKNUM(A117)</f>
        <v/>
      </c>
      <c r="I117">
        <f>+YEAR(A117)</f>
        <v/>
      </c>
    </row>
    <row r="118">
      <c r="A118" s="1" t="n">
        <v>45887</v>
      </c>
      <c r="B118" t="inlineStr">
        <is>
          <t>GabKoj</t>
        </is>
      </c>
      <c r="C118" t="inlineStr">
        <is>
          <t>Developer</t>
        </is>
      </c>
      <c r="D118" t="inlineStr">
        <is>
          <t>Feature #91466: FR1-20250625-001 - Funkcinio-techninio projektavimo dokumento paruošimas ir perdavimas klientui (KIWI Integracija)</t>
        </is>
      </c>
      <c r="E118" t="inlineStr">
        <is>
          <t>call su Vilintu, analize kiwi dokumentacijos</t>
        </is>
      </c>
      <c r="F118" t="n">
        <v>1</v>
      </c>
      <c r="G118" t="inlineStr">
        <is>
          <t>Yes</t>
        </is>
      </c>
      <c r="H118">
        <f>+WEEKNUM(A118)</f>
        <v/>
      </c>
      <c r="I118">
        <f>+YEAR(A118)</f>
        <v/>
      </c>
    </row>
    <row r="119">
      <c r="A119" s="1" t="n">
        <v>45887</v>
      </c>
      <c r="B119" t="inlineStr">
        <is>
          <t>VilMat</t>
        </is>
      </c>
      <c r="C119" t="inlineStr">
        <is>
          <t>Consultant</t>
        </is>
      </c>
      <c r="D119" t="inlineStr">
        <is>
          <t>Feature #91466: FR1-20250625-001 - Funkcinio-techninio projektavimo dokumento paruošimas ir perdavimas klientui (KIWI Integracija)</t>
        </is>
      </c>
      <c r="E119" t="inlineStr">
        <is>
          <t>Kiwi dokumentacijų aptarimas su Gabrieliumi</t>
        </is>
      </c>
      <c r="F119" t="n">
        <v>0.5</v>
      </c>
      <c r="G119" t="inlineStr">
        <is>
          <t>Yes</t>
        </is>
      </c>
      <c r="H119">
        <f>+WEEKNUM(A119)</f>
        <v/>
      </c>
      <c r="I119">
        <f>+YEAR(A119)</f>
        <v/>
      </c>
    </row>
    <row r="120">
      <c r="A120" s="1" t="n">
        <v>45882</v>
      </c>
      <c r="B120" t="inlineStr">
        <is>
          <t>VilMat</t>
        </is>
      </c>
      <c r="C120" t="inlineStr">
        <is>
          <t>Consultant</t>
        </is>
      </c>
      <c r="D120" t="inlineStr">
        <is>
          <t>Feature #90447: FR3-20250601 - Nauji kliento poreikiai | susitikimų minutės (Pradžia 2025-06-04) | LTG/GO-ERP</t>
        </is>
      </c>
      <c r="E120" t="inlineStr">
        <is>
          <t xml:space="preserve">Kliento Techninio pobūdžio klausimų į pateiktus sprendimo variantus komentarai. Testavimai sistemoje dėl galimų papildomų realizavimų. </t>
        </is>
      </c>
      <c r="F120" t="n">
        <v>2</v>
      </c>
      <c r="G120" t="inlineStr">
        <is>
          <t>Yes</t>
        </is>
      </c>
      <c r="H120">
        <f>+WEEKNUM(A120)</f>
        <v/>
      </c>
      <c r="I120">
        <f>+YEAR(A120)</f>
        <v/>
      </c>
    </row>
    <row r="121">
      <c r="A121" s="1" t="n">
        <v>45882</v>
      </c>
      <c r="B121" t="inlineStr">
        <is>
          <t>VilMat</t>
        </is>
      </c>
      <c r="C121" t="inlineStr">
        <is>
          <t>Consultant</t>
        </is>
      </c>
      <c r="D121" t="inlineStr">
        <is>
          <t>Feature #91466: FR1-20250625-001 - Funkcinio-techninio projektavimo dokumento paruošimas ir perdavimas klientui (KIWI Integracija)</t>
        </is>
      </c>
      <c r="E121" t="inlineStr">
        <is>
          <t>Komunikacija su KiwiCONTACT IS sprendimo atstovu</t>
        </is>
      </c>
      <c r="F121" t="n">
        <v>0.5</v>
      </c>
      <c r="G121" t="inlineStr">
        <is>
          <t>Yes</t>
        </is>
      </c>
      <c r="H121">
        <f>+WEEKNUM(A121)</f>
        <v/>
      </c>
      <c r="I121">
        <f>+YEAR(A121)</f>
        <v/>
      </c>
    </row>
    <row r="122">
      <c r="A122" s="1" t="n">
        <v>45882</v>
      </c>
      <c r="B122" t="inlineStr">
        <is>
          <t>GabKoj</t>
        </is>
      </c>
      <c r="C122" t="inlineStr">
        <is>
          <t>Developer</t>
        </is>
      </c>
      <c r="D122" t="inlineStr">
        <is>
          <t>Feature #91466: FR1-20250625-001 - Funkcinio-techninio projektavimo dokumento paruošimas ir perdavimas klientui (KIWI Integracija)</t>
        </is>
      </c>
      <c r="E122" t="inlineStr">
        <is>
          <t>dokumento perziura kartu su vilintu</t>
        </is>
      </c>
      <c r="F122" t="n">
        <v>2</v>
      </c>
      <c r="G122" t="inlineStr">
        <is>
          <t>Yes</t>
        </is>
      </c>
      <c r="H122">
        <f>+WEEKNUM(A122)</f>
        <v/>
      </c>
      <c r="I122">
        <f>+YEAR(A122)</f>
        <v/>
      </c>
    </row>
    <row r="123">
      <c r="A123" s="1" t="n">
        <v>45882</v>
      </c>
      <c r="B123" t="inlineStr">
        <is>
          <t>VilMat</t>
        </is>
      </c>
      <c r="C123" t="inlineStr">
        <is>
          <t>Consultant</t>
        </is>
      </c>
      <c r="D123" t="inlineStr">
        <is>
          <t>Feature #91466: FR1-20250625-001 - Funkcinio-techninio projektavimo dokumento paruošimas ir perdavimas klientui (KIWI Integracija)</t>
        </is>
      </c>
      <c r="E123" t="inlineStr">
        <is>
          <t>Techninės dokumentacijos peržiūra su programuotoju, schemų ir teksto korekcijos.</t>
        </is>
      </c>
      <c r="F123" t="n">
        <v>2</v>
      </c>
      <c r="G123" t="inlineStr">
        <is>
          <t>Yes</t>
        </is>
      </c>
      <c r="H123">
        <f>+WEEKNUM(A123)</f>
        <v/>
      </c>
      <c r="I123">
        <f>+YEAR(A123)</f>
        <v/>
      </c>
    </row>
    <row r="124">
      <c r="A124" s="1" t="n">
        <v>45880</v>
      </c>
      <c r="B124" t="inlineStr">
        <is>
          <t>VilMat</t>
        </is>
      </c>
      <c r="C124" t="inlineStr">
        <is>
          <t>Consultant</t>
        </is>
      </c>
      <c r="D124" t="inlineStr">
        <is>
          <t>Feature #91466: FR1-20250625-001 - Funkcinio-techninio projektavimo dokumento paruošimas ir perdavimas klientui (KIWI Integracija)</t>
        </is>
      </c>
      <c r="E124" t="inlineStr">
        <is>
          <t>Dokumento korekcijos, papildomų punktų išskyrimas</t>
        </is>
      </c>
      <c r="F124" t="n">
        <v>1</v>
      </c>
      <c r="G124" t="inlineStr">
        <is>
          <t>Yes</t>
        </is>
      </c>
      <c r="H124">
        <f>+WEEKNUM(A124)</f>
        <v/>
      </c>
      <c r="I124">
        <f>+YEAR(A124)</f>
        <v/>
      </c>
    </row>
    <row r="125">
      <c r="A125" s="1" t="n">
        <v>45877</v>
      </c>
      <c r="B125" t="inlineStr">
        <is>
          <t>VilMat</t>
        </is>
      </c>
      <c r="C125" t="inlineStr">
        <is>
          <t>Consultant</t>
        </is>
      </c>
      <c r="D125" t="inlineStr">
        <is>
          <t>Feature #91466: FR1-20250625-001 - Funkcinio-techninio projektavimo dokumento paruošimas ir perdavimas klientui (KIWI Integracija)</t>
        </is>
      </c>
      <c r="E125" t="inlineStr">
        <is>
          <t>Techninio dokumento korekcijos funkcionalumo atžvilgiu po vidinio aptarimo</t>
        </is>
      </c>
      <c r="F125" t="n">
        <v>1.5</v>
      </c>
      <c r="G125" t="inlineStr">
        <is>
          <t>Yes</t>
        </is>
      </c>
      <c r="H125">
        <f>+WEEKNUM(A125)</f>
        <v/>
      </c>
      <c r="I125">
        <f>+YEAR(A125)</f>
        <v/>
      </c>
    </row>
    <row r="126">
      <c r="A126" s="1" t="n">
        <v>45877</v>
      </c>
      <c r="B126" t="inlineStr">
        <is>
          <t>VilMat</t>
        </is>
      </c>
      <c r="C126" t="inlineStr">
        <is>
          <t>Consultant</t>
        </is>
      </c>
      <c r="D126" t="inlineStr">
        <is>
          <t>Feature #90447: FR3-20250601 - Nauji kliento poreikiai | susitikimų minutės (Pradžia 2025-06-04) | LTG/GO-ERP</t>
        </is>
      </c>
      <c r="E126" t="inlineStr">
        <is>
          <t>Papildomi atsakymai į kliento komentarus poreikių dokumente (second part)</t>
        </is>
      </c>
      <c r="F126" t="n">
        <v>1</v>
      </c>
      <c r="G126" t="inlineStr">
        <is>
          <t>Yes</t>
        </is>
      </c>
      <c r="H126">
        <f>+WEEKNUM(A126)</f>
        <v/>
      </c>
      <c r="I126">
        <f>+YEAR(A126)</f>
        <v/>
      </c>
    </row>
    <row r="127">
      <c r="A127" s="1" t="n">
        <v>45876</v>
      </c>
      <c r="B127" t="inlineStr">
        <is>
          <t>VilMat</t>
        </is>
      </c>
      <c r="C127" t="inlineStr">
        <is>
          <t>Consultant</t>
        </is>
      </c>
      <c r="D127" t="inlineStr">
        <is>
          <t>Support #94020: Kliento prevencijos informacija - atvaizdavimo pakeitimas</t>
        </is>
      </c>
      <c r="E127" t="inlineStr">
        <is>
          <t>Naujo laukelio kūrimas, papildomo laukelio parinkčių korekcija, vertimai į LT kalbą, modifikacijų migravimas ir testavimas aplinkose.</t>
        </is>
      </c>
      <c r="F127" t="n">
        <v>2.5</v>
      </c>
      <c r="G127" t="inlineStr">
        <is>
          <t>Yes</t>
        </is>
      </c>
      <c r="H127">
        <f>+WEEKNUM(A127)</f>
        <v/>
      </c>
      <c r="I127">
        <f>+YEAR(A127)</f>
        <v/>
      </c>
    </row>
    <row r="128">
      <c r="A128" s="1" t="n">
        <v>45875</v>
      </c>
      <c r="B128" t="inlineStr">
        <is>
          <t>VilMat</t>
        </is>
      </c>
      <c r="C128" t="inlineStr">
        <is>
          <t>Consultant</t>
        </is>
      </c>
      <c r="D128" t="inlineStr">
        <is>
          <t>Feature #90447: FR3-20250601 - Nauji kliento poreikiai | susitikimų minutės (Pradžia 2025-06-04) | LTG/GO-ERP</t>
        </is>
      </c>
      <c r="E128" t="inlineStr">
        <is>
          <t>Papildomi atsakymai į kliento komentarus poreikių dokumente</t>
        </is>
      </c>
      <c r="F128" t="n">
        <v>1</v>
      </c>
      <c r="G128" t="inlineStr">
        <is>
          <t>Yes</t>
        </is>
      </c>
      <c r="H128">
        <f>+WEEKNUM(A128)</f>
        <v/>
      </c>
      <c r="I128">
        <f>+YEAR(A128)</f>
        <v/>
      </c>
    </row>
    <row r="129">
      <c r="A129" s="1" t="n">
        <v>45874</v>
      </c>
      <c r="B129" t="inlineStr">
        <is>
          <t>VilMat</t>
        </is>
      </c>
      <c r="C129" t="inlineStr">
        <is>
          <t>Consultant</t>
        </is>
      </c>
      <c r="D129" t="inlineStr">
        <is>
          <t>Support #94099: LTG INFRA/LINK testuotojų mokymai - dalyvavimo minutės</t>
        </is>
      </c>
      <c r="E129" t="inlineStr">
        <is>
          <t>INFRA CRM testuotojų mokymai (1dalis)</t>
        </is>
      </c>
      <c r="F129" t="n">
        <v>2</v>
      </c>
      <c r="G129" t="inlineStr">
        <is>
          <t>Yes</t>
        </is>
      </c>
      <c r="H129">
        <f>+WEEKNUM(A129)</f>
        <v/>
      </c>
      <c r="I129">
        <f>+YEAR(A129)</f>
        <v/>
      </c>
    </row>
    <row r="130">
      <c r="A130" s="1" t="n">
        <v>45873</v>
      </c>
      <c r="B130" t="inlineStr">
        <is>
          <t>VilMat</t>
        </is>
      </c>
      <c r="C130" t="inlineStr">
        <is>
          <t>Consultant</t>
        </is>
      </c>
      <c r="D130" t="inlineStr">
        <is>
          <t>Feature #90447: FR3-20250601 - Nauji kliento poreikiai | susitikimų minutės (Pradžia 2025-06-04) | LTG/GO-ERP</t>
        </is>
      </c>
      <c r="E130" t="inlineStr">
        <is>
          <t>Kliento pateiktų komentarų, poreikių dokumente, peržiūra.</t>
        </is>
      </c>
      <c r="F130" t="n">
        <v>0.75</v>
      </c>
      <c r="G130" t="inlineStr">
        <is>
          <t>Yes</t>
        </is>
      </c>
      <c r="H130">
        <f>+WEEKNUM(A130)</f>
        <v/>
      </c>
      <c r="I130">
        <f>+YEAR(A130)</f>
        <v/>
      </c>
    </row>
    <row r="131">
      <c r="A131" s="1" t="n">
        <v>45873</v>
      </c>
      <c r="B131" t="inlineStr">
        <is>
          <t>VilMat</t>
        </is>
      </c>
      <c r="C131" t="inlineStr">
        <is>
          <t>Consultant</t>
        </is>
      </c>
      <c r="D131" t="inlineStr">
        <is>
          <t>Feature #91466: FR1-20250625-001 - Funkcinio-techninio projektavimo dokumento paruošimas ir perdavimas klientui (KIWI Integracija)</t>
        </is>
      </c>
      <c r="E131" t="inlineStr">
        <is>
          <t>Dokumento korekcijų ir komentarų peržiūra.</t>
        </is>
      </c>
      <c r="F131" t="n">
        <v>1</v>
      </c>
      <c r="G131" t="inlineStr">
        <is>
          <t>Yes</t>
        </is>
      </c>
      <c r="H131">
        <f>+WEEKNUM(A131)</f>
        <v/>
      </c>
      <c r="I131">
        <f>+YEAR(A131)</f>
        <v/>
      </c>
    </row>
    <row r="132">
      <c r="A132" s="1" t="n">
        <v>45873</v>
      </c>
      <c r="B132" t="inlineStr">
        <is>
          <t>VilMat</t>
        </is>
      </c>
      <c r="C132" t="inlineStr">
        <is>
          <t>Consultant</t>
        </is>
      </c>
      <c r="D132" t="inlineStr">
        <is>
          <t>Feature #86268: FR1-20250625-000 - CRM &lt;&gt; KIWI integracija</t>
        </is>
      </c>
      <c r="E132" t="inlineStr">
        <is>
          <t>Dokumento atliktų korekcijų ir reikalingų pakeitimų aptarimas su Ugniumi</t>
        </is>
      </c>
      <c r="F132" t="n">
        <v>0.75</v>
      </c>
      <c r="G132" t="inlineStr">
        <is>
          <t>Yes</t>
        </is>
      </c>
      <c r="H132">
        <f>+WEEKNUM(A132)</f>
        <v/>
      </c>
      <c r="I132">
        <f>+YEAR(A132)</f>
        <v/>
      </c>
    </row>
    <row r="133">
      <c r="A133" s="1" t="n">
        <v>45861</v>
      </c>
      <c r="B133" t="inlineStr">
        <is>
          <t>VilMat</t>
        </is>
      </c>
      <c r="C133" t="inlineStr">
        <is>
          <t>Consultant</t>
        </is>
      </c>
      <c r="D133" t="inlineStr">
        <is>
          <t>Feature #91467: FR2-20250625-000 - Kliento migravimas iš Sales Hub į Copilot Service Workspace programą</t>
        </is>
      </c>
      <c r="E133" t="inlineStr">
        <is>
          <t>Overtime - Copilot Service Workspace programos sulyginimas su Sales Hub programa, išvadų pateikimas klientui</t>
        </is>
      </c>
      <c r="F133" t="n">
        <v>3</v>
      </c>
      <c r="G133" t="inlineStr">
        <is>
          <t>Yes</t>
        </is>
      </c>
      <c r="H133">
        <f>+WEEKNUM(A133)</f>
        <v/>
      </c>
      <c r="I133">
        <f>+YEAR(A133)</f>
        <v/>
      </c>
    </row>
    <row r="134">
      <c r="A134" s="1" t="n">
        <v>45861</v>
      </c>
      <c r="B134" t="inlineStr">
        <is>
          <t>VilMat</t>
        </is>
      </c>
      <c r="C134" t="inlineStr">
        <is>
          <t>Consultant</t>
        </is>
      </c>
      <c r="D134" t="inlineStr">
        <is>
          <t>Feature #90447: FR3-20250601 - Nauji kliento poreikiai | susitikimų minutės (Pradžia 2025-06-04) | LTG/GO-ERP</t>
        </is>
      </c>
      <c r="E134" t="inlineStr">
        <is>
          <t>Overtime - Kliento poreikių vertinimas po patikslinimo. Atnaujinto dokumento su komentarais ir vertinimu perdavimas klientui.</t>
        </is>
      </c>
      <c r="F134" t="n">
        <v>2</v>
      </c>
      <c r="G134" t="inlineStr">
        <is>
          <t>Yes</t>
        </is>
      </c>
      <c r="H134">
        <f>+WEEKNUM(A134)</f>
        <v/>
      </c>
      <c r="I134">
        <f>+YEAR(A134)</f>
        <v/>
      </c>
    </row>
    <row r="135">
      <c r="A135" s="1" t="n">
        <v>45861</v>
      </c>
      <c r="B135" t="inlineStr">
        <is>
          <t>VilMat</t>
        </is>
      </c>
      <c r="C135" t="inlineStr">
        <is>
          <t>Consultant</t>
        </is>
      </c>
      <c r="D135" t="inlineStr">
        <is>
          <t>Feature #91466: FR1-20250625-001 - Funkcinio-techninio projektavimo dokumento paruošimas ir perdavimas klientui (KIWI Integracija)</t>
        </is>
      </c>
      <c r="E135" t="inlineStr">
        <is>
          <t>Overtime - Techninio projektavimo dokumento paruošimas</t>
        </is>
      </c>
      <c r="F135" t="n">
        <v>7</v>
      </c>
      <c r="G135" t="inlineStr">
        <is>
          <t>Yes</t>
        </is>
      </c>
      <c r="H135">
        <f>+WEEKNUM(A135)</f>
        <v/>
      </c>
      <c r="I135">
        <f>+YEAR(A135)</f>
        <v/>
      </c>
    </row>
    <row r="136">
      <c r="A136" s="1" t="n">
        <v>45859</v>
      </c>
      <c r="B136" t="inlineStr">
        <is>
          <t>VilMat</t>
        </is>
      </c>
      <c r="C136" t="inlineStr">
        <is>
          <t>Consultant</t>
        </is>
      </c>
      <c r="D136" t="inlineStr">
        <is>
          <t>Feature #91466: FR1-20250625-001 - Funkcinio-techninio projektavimo dokumento paruošimas ir perdavimas klientui (KIWI Integracija)</t>
        </is>
      </c>
      <c r="E136" t="inlineStr">
        <is>
          <t>Overtime - Techninio projektavimo dokumento paruošimas(part)</t>
        </is>
      </c>
      <c r="F136" t="n">
        <v>7</v>
      </c>
      <c r="G136" t="inlineStr">
        <is>
          <t>Yes</t>
        </is>
      </c>
      <c r="H136">
        <f>+WEEKNUM(A136)</f>
        <v/>
      </c>
      <c r="I136">
        <f>+YEAR(A136)</f>
        <v/>
      </c>
    </row>
    <row r="137">
      <c r="A137" s="1" t="n">
        <v>45859</v>
      </c>
      <c r="B137" t="inlineStr">
        <is>
          <t>VilMat</t>
        </is>
      </c>
      <c r="C137" t="inlineStr">
        <is>
          <t>Consultant</t>
        </is>
      </c>
      <c r="D137" t="inlineStr">
        <is>
          <t>Feature #90447: FR3-20250601 - Nauji kliento poreikiai | susitikimų minutės (Pradžia 2025-06-04) | LTG/GO-ERP</t>
        </is>
      </c>
      <c r="E137" t="inlineStr">
        <is>
          <t>Overtime - Kliento poreikių vertinimas</t>
        </is>
      </c>
      <c r="F137" t="n">
        <v>6</v>
      </c>
      <c r="G137" t="inlineStr">
        <is>
          <t>Yes</t>
        </is>
      </c>
      <c r="H137">
        <f>+WEEKNUM(A137)</f>
        <v/>
      </c>
      <c r="I137">
        <f>+YEAR(A137)</f>
        <v/>
      </c>
    </row>
    <row r="138">
      <c r="A138" s="1" t="n">
        <v>45856</v>
      </c>
      <c r="B138" t="inlineStr">
        <is>
          <t>GabKoj</t>
        </is>
      </c>
      <c r="C138" t="inlineStr">
        <is>
          <t>Developer</t>
        </is>
      </c>
      <c r="D138" t="inlineStr">
        <is>
          <t>Feature #90447: FR3-20250601 - Nauji kliento poreikiai | susitikimų minutės (Pradžia 2025-06-04) | LTG/GO-ERP</t>
        </is>
      </c>
      <c r="E138" t="inlineStr">
        <is>
          <t>klientu poreikiu vertinimas kartu su Vilintu</t>
        </is>
      </c>
      <c r="F138" t="n">
        <v>2.75</v>
      </c>
      <c r="G138" t="inlineStr">
        <is>
          <t>Yes</t>
        </is>
      </c>
      <c r="H138">
        <f>+WEEKNUM(A138)</f>
        <v/>
      </c>
      <c r="I138">
        <f>+YEAR(A138)</f>
        <v/>
      </c>
    </row>
    <row r="139">
      <c r="A139" s="1" t="n">
        <v>45856</v>
      </c>
      <c r="B139" t="inlineStr">
        <is>
          <t>VilMat</t>
        </is>
      </c>
      <c r="C139" t="inlineStr">
        <is>
          <t>Consultant</t>
        </is>
      </c>
      <c r="D139" t="inlineStr">
        <is>
          <t>Feature #90447: FR3-20250601 - Nauji kliento poreikiai | susitikimų minutės (Pradžia 2025-06-04) | LTG/GO-ERP</t>
        </is>
      </c>
      <c r="E139" t="inlineStr">
        <is>
          <t>Kliento pateiktų poreikių vertinimas su aprašomais galimais sprendimais(part4)</t>
        </is>
      </c>
      <c r="F139" t="n">
        <v>5</v>
      </c>
      <c r="G139" t="inlineStr">
        <is>
          <t>Yes</t>
        </is>
      </c>
      <c r="H139">
        <f>+WEEKNUM(A139)</f>
        <v/>
      </c>
      <c r="I139">
        <f>+YEAR(A139)</f>
        <v/>
      </c>
    </row>
    <row r="140">
      <c r="A140" s="1" t="n">
        <v>45855</v>
      </c>
      <c r="B140" t="inlineStr">
        <is>
          <t>VilMat</t>
        </is>
      </c>
      <c r="C140" t="inlineStr">
        <is>
          <t>Consultant</t>
        </is>
      </c>
      <c r="D140" t="inlineStr">
        <is>
          <t>Feature #90447: FR3-20250601 - Nauji kliento poreikiai | susitikimų minutės (Pradžia 2025-06-04) | LTG/GO-ERP</t>
        </is>
      </c>
      <c r="E140" t="inlineStr">
        <is>
          <t>Kliento pateiktų poreikių vertinimas su aprašomais galimais sprendimais(part3)</t>
        </is>
      </c>
      <c r="F140" t="n">
        <v>2.5</v>
      </c>
      <c r="G140" t="inlineStr">
        <is>
          <t>Yes</t>
        </is>
      </c>
      <c r="H140">
        <f>+WEEKNUM(A140)</f>
        <v/>
      </c>
      <c r="I140">
        <f>+YEAR(A140)</f>
        <v/>
      </c>
    </row>
    <row r="141">
      <c r="A141" s="1" t="n">
        <v>45854</v>
      </c>
      <c r="B141" t="inlineStr">
        <is>
          <t>VilMat</t>
        </is>
      </c>
      <c r="C141" t="inlineStr">
        <is>
          <t>Consultant</t>
        </is>
      </c>
      <c r="D141" t="inlineStr">
        <is>
          <t>Feature #90447: FR3-20250601 - Nauji kliento poreikiai | susitikimų minutės (Pradžia 2025-06-04) | LTG/GO-ERP</t>
        </is>
      </c>
      <c r="E141" t="inlineStr">
        <is>
          <t>Kliento pateiktų poreikių vertinimas su aprašomais galimais sprendimais(part2)</t>
        </is>
      </c>
      <c r="F141" t="n">
        <v>2</v>
      </c>
      <c r="G141" t="inlineStr">
        <is>
          <t>Yes</t>
        </is>
      </c>
      <c r="H141">
        <f>+WEEKNUM(A141)</f>
        <v/>
      </c>
      <c r="I141">
        <f>+YEAR(A141)</f>
        <v/>
      </c>
    </row>
    <row r="142">
      <c r="A142" s="1" t="n">
        <v>45853</v>
      </c>
      <c r="B142" t="inlineStr">
        <is>
          <t>VilMat</t>
        </is>
      </c>
      <c r="C142" t="inlineStr">
        <is>
          <t>Consultant</t>
        </is>
      </c>
      <c r="D142" t="inlineStr">
        <is>
          <t>Feature #90447: FR3-20250601 - Nauji kliento poreikiai | susitikimų minutės (Pradžia 2025-06-04) | LTG/GO-ERP</t>
        </is>
      </c>
      <c r="E142" t="inlineStr">
        <is>
          <t>Kliento pateiktų poreikių vertinimas su aprašomais galimais sprendimais(part)</t>
        </is>
      </c>
      <c r="F142" t="n">
        <v>2.75</v>
      </c>
      <c r="G142" t="inlineStr">
        <is>
          <t>Yes</t>
        </is>
      </c>
      <c r="H142">
        <f>+WEEKNUM(A142)</f>
        <v/>
      </c>
      <c r="I142">
        <f>+YEAR(A142)</f>
        <v/>
      </c>
    </row>
    <row r="143">
      <c r="A143" s="1" t="n">
        <v>45853</v>
      </c>
      <c r="B143" t="inlineStr">
        <is>
          <t>VilMat</t>
        </is>
      </c>
      <c r="C143" t="inlineStr">
        <is>
          <t>Consultant</t>
        </is>
      </c>
      <c r="D143" t="inlineStr">
        <is>
          <t>Support #65707: Administravimas ir darbų koordinavimas</t>
        </is>
      </c>
      <c r="E143" t="inlineStr">
        <is>
          <t>CRM duomenų bazės mažinimo klausimas iš Žydrūnės(LTG) - Long term data retention sprendimo taikymo detalių peržiūra ir iškomunikavimas Ingridai(GO-ERP)</t>
        </is>
      </c>
      <c r="F143" t="n">
        <v>0.75</v>
      </c>
      <c r="G143" t="inlineStr">
        <is>
          <t>Yes</t>
        </is>
      </c>
      <c r="H143">
        <f>+WEEKNUM(A143)</f>
        <v/>
      </c>
      <c r="I143">
        <f>+YEAR(A143)</f>
        <v/>
      </c>
    </row>
    <row r="144">
      <c r="A144" s="1" t="n">
        <v>45847</v>
      </c>
      <c r="B144" t="inlineStr">
        <is>
          <t>VilMat</t>
        </is>
      </c>
      <c r="C144" t="inlineStr">
        <is>
          <t>Consultant</t>
        </is>
      </c>
      <c r="D144" t="inlineStr">
        <is>
          <t>Feature #91467: FR2-20250625-000 - Kliento migravimas iš Sales Hub į Copilot Service Workspace programą</t>
        </is>
      </c>
      <c r="E144" t="inlineStr">
        <is>
          <t xml:space="preserve">Service Workspace programos konfigūracija DEV aplinkoje Case moduliui patikrinti ar funkcionalumai veikia, kurie naudojami Sales Hub/Customer Service Hub aplikacijose. </t>
        </is>
      </c>
      <c r="F144" t="n">
        <v>1.5</v>
      </c>
      <c r="G144" t="inlineStr">
        <is>
          <t>Yes</t>
        </is>
      </c>
      <c r="H144">
        <f>+WEEKNUM(A144)</f>
        <v/>
      </c>
      <c r="I144">
        <f>+YEAR(A144)</f>
        <v/>
      </c>
    </row>
    <row r="145">
      <c r="A145" s="1" t="n">
        <v>45847</v>
      </c>
      <c r="B145" t="inlineStr">
        <is>
          <t>VilMat</t>
        </is>
      </c>
      <c r="C145" t="inlineStr">
        <is>
          <t>Consultant</t>
        </is>
      </c>
      <c r="D145" t="inlineStr">
        <is>
          <t>Feature #91466: FR1-20250625-001 - Funkcinio-techninio projektavimo dokumento paruošimas ir perdavimas klientui (KIWI Integracija)</t>
        </is>
      </c>
      <c r="E145" t="inlineStr">
        <is>
          <t>Turimo šabloninio dokumento peržiūra ir naujo kūrimas išimant nereikalingą informaciją(part)</t>
        </is>
      </c>
      <c r="F145" t="n">
        <v>1.5</v>
      </c>
      <c r="G145" t="inlineStr">
        <is>
          <t>Yes</t>
        </is>
      </c>
      <c r="H145">
        <f>+WEEKNUM(A145)</f>
        <v/>
      </c>
      <c r="I145">
        <f>+YEAR(A145)</f>
        <v/>
      </c>
    </row>
    <row r="146">
      <c r="A146" s="1" t="n">
        <v>45845</v>
      </c>
      <c r="B146" t="inlineStr">
        <is>
          <t>VilMat</t>
        </is>
      </c>
      <c r="C146" t="inlineStr">
        <is>
          <t>Consultant</t>
        </is>
      </c>
      <c r="D146" t="inlineStr">
        <is>
          <t>Support #65707: Administravimas ir darbų koordinavimas</t>
        </is>
      </c>
      <c r="E146" t="inlineStr">
        <is>
          <t>Apibendrinta kliento padėtis redmine užklausų atžvilgiu</t>
        </is>
      </c>
      <c r="F146" t="n">
        <v>0.5</v>
      </c>
      <c r="G146" t="inlineStr">
        <is>
          <t>Yes</t>
        </is>
      </c>
      <c r="H146">
        <f>+WEEKNUM(A146)</f>
        <v/>
      </c>
      <c r="I146">
        <f>+YEAR(A146)</f>
        <v/>
      </c>
    </row>
    <row r="147">
      <c r="A147" s="1" t="n">
        <v>45845</v>
      </c>
      <c r="B147" t="inlineStr">
        <is>
          <t>VilMat</t>
        </is>
      </c>
      <c r="C147" t="inlineStr">
        <is>
          <t>Project management</t>
        </is>
      </c>
      <c r="D147" t="inlineStr">
        <is>
          <t>Support #65707: Administravimas ir darbų koordinavimas</t>
        </is>
      </c>
      <c r="E147" t="inlineStr">
        <is>
          <t>LTG - projekto bukle (Ingrida, Vladas, Ugnius)</t>
        </is>
      </c>
      <c r="F147" t="n">
        <v>0.5</v>
      </c>
      <c r="G147" t="inlineStr">
        <is>
          <t>Yes</t>
        </is>
      </c>
      <c r="H147">
        <f>+WEEKNUM(A147)</f>
        <v/>
      </c>
      <c r="I147">
        <f>+YEAR(A147)</f>
        <v/>
      </c>
    </row>
    <row r="148">
      <c r="A148" s="1" t="n">
        <v>45839</v>
      </c>
      <c r="B148" t="inlineStr">
        <is>
          <t>VilMat</t>
        </is>
      </c>
      <c r="C148" t="inlineStr">
        <is>
          <t>Consultant</t>
        </is>
      </c>
      <c r="D148" t="inlineStr">
        <is>
          <t>Feature #86268: FR1-20250625-000 - CRM &lt;&gt; KIWI integracija</t>
        </is>
      </c>
      <c r="E148" t="inlineStr">
        <is>
          <t>MS Teams susitikimo įrašo kopijos perėmimas iš kliento ir patalpinimas į organizacijos talpyklas. Detalių susižiūrėjimas vaizdo įrašo peržiūros pagrindu.</t>
        </is>
      </c>
      <c r="F148" t="n">
        <v>0.75</v>
      </c>
      <c r="G148" t="inlineStr">
        <is>
          <t>Yes</t>
        </is>
      </c>
      <c r="H148">
        <f>+WEEKNUM(A148)</f>
        <v/>
      </c>
      <c r="I148">
        <f>+YEAR(A148)</f>
        <v/>
      </c>
    </row>
    <row r="149">
      <c r="A149" s="1" t="n">
        <v>45838</v>
      </c>
      <c r="B149" t="inlineStr">
        <is>
          <t>VilMat</t>
        </is>
      </c>
      <c r="C149" t="inlineStr">
        <is>
          <t>Consultant</t>
        </is>
      </c>
      <c r="D149" t="inlineStr">
        <is>
          <t>Feature #91467: FR2-20250625-000 - Kliento migravimas iš Sales Hub į Copilot Service Workspace programą</t>
        </is>
      </c>
      <c r="E149" t="inlineStr">
        <is>
          <t>Komunikacija su Egidijumi jo iškeltais atvirais bendriniais klausimais, dėl Service Workspace</t>
        </is>
      </c>
      <c r="F149" t="n">
        <v>0.5</v>
      </c>
      <c r="G149" t="inlineStr">
        <is>
          <t>Yes</t>
        </is>
      </c>
      <c r="H149">
        <f>+WEEKNUM(A149)</f>
        <v/>
      </c>
      <c r="I149">
        <f>+YEAR(A149)</f>
        <v/>
      </c>
    </row>
    <row r="150">
      <c r="A150" s="1" t="n">
        <v>45833</v>
      </c>
      <c r="B150" t="inlineStr">
        <is>
          <t>VilMat</t>
        </is>
      </c>
      <c r="C150" t="inlineStr">
        <is>
          <t>Consultant</t>
        </is>
      </c>
      <c r="D150" t="inlineStr">
        <is>
          <t>Feature #91467: FR2-20250625-000 - Kliento migravimas iš Sales Hub į Copilot Service Workspace programą</t>
        </is>
      </c>
      <c r="E150" t="inlineStr">
        <is>
          <t>Užduoties kūrimas ir aprašymas</t>
        </is>
      </c>
      <c r="F150" t="n">
        <v>0.25</v>
      </c>
      <c r="G150" t="inlineStr">
        <is>
          <t>Yes</t>
        </is>
      </c>
      <c r="H150">
        <f>+WEEKNUM(A150)</f>
        <v/>
      </c>
      <c r="I150">
        <f>+YEAR(A150)</f>
        <v/>
      </c>
    </row>
    <row r="151">
      <c r="A151" s="1" t="n">
        <v>45833</v>
      </c>
      <c r="B151" t="inlineStr">
        <is>
          <t>VilMat</t>
        </is>
      </c>
      <c r="C151" t="inlineStr">
        <is>
          <t>Consultant</t>
        </is>
      </c>
      <c r="D151" t="inlineStr">
        <is>
          <t>Feature #86268: FR1-20250625-000 - CRM &lt;&gt; KIWI integracija</t>
        </is>
      </c>
      <c r="E151" t="inlineStr">
        <is>
          <t>Atnaujinti užduotį su naujausia informacija</t>
        </is>
      </c>
      <c r="F151" t="n">
        <v>0.25</v>
      </c>
      <c r="G151" t="inlineStr">
        <is>
          <t>Yes</t>
        </is>
      </c>
      <c r="H151">
        <f>+WEEKNUM(A151)</f>
        <v/>
      </c>
      <c r="I151">
        <f>+YEAR(A151)</f>
        <v/>
      </c>
    </row>
    <row r="152">
      <c r="A152" s="1" t="n">
        <v>45833</v>
      </c>
      <c r="B152" t="inlineStr">
        <is>
          <t>VilMat</t>
        </is>
      </c>
      <c r="C152" t="inlineStr">
        <is>
          <t>Consultant</t>
        </is>
      </c>
      <c r="D152" t="inlineStr">
        <is>
          <t>Feature #86268: FR1-20250625-000 - CRM &lt;&gt; KIWI integracija</t>
        </is>
      </c>
      <c r="E152" t="inlineStr">
        <is>
          <t>MS Teams susitikimas su klientu - KIWI telefonijos Integracijos prototipo pristatymas</t>
        </is>
      </c>
      <c r="F152" t="n">
        <v>2</v>
      </c>
      <c r="G152" t="inlineStr">
        <is>
          <t>Yes</t>
        </is>
      </c>
      <c r="H152">
        <f>+WEEKNUM(A152)</f>
        <v/>
      </c>
      <c r="I152">
        <f>+YEAR(A152)</f>
        <v/>
      </c>
    </row>
    <row r="153">
      <c r="A153" s="1" t="n">
        <v>45833</v>
      </c>
      <c r="B153" t="inlineStr">
        <is>
          <t>VilMat</t>
        </is>
      </c>
      <c r="C153" t="inlineStr">
        <is>
          <t>Consultant</t>
        </is>
      </c>
      <c r="D153" t="inlineStr">
        <is>
          <t>Feature #86268: FR1-20250625-000 - CRM &lt;&gt; KIWI integracija</t>
        </is>
      </c>
      <c r="E153" t="inlineStr">
        <is>
          <t>Prototipo pasiruošimas DEV aplinkoje (V2)</t>
        </is>
      </c>
      <c r="F153" t="n">
        <v>4</v>
      </c>
      <c r="G153" t="inlineStr">
        <is>
          <t>Yes</t>
        </is>
      </c>
      <c r="H153">
        <f>+WEEKNUM(A153)</f>
        <v/>
      </c>
      <c r="I153">
        <f>+YEAR(A153)</f>
        <v/>
      </c>
    </row>
    <row r="154">
      <c r="A154" s="1" t="n">
        <v>45831</v>
      </c>
      <c r="B154" t="inlineStr">
        <is>
          <t>VilMat</t>
        </is>
      </c>
      <c r="C154" t="inlineStr">
        <is>
          <t>Consultant</t>
        </is>
      </c>
      <c r="D154" t="inlineStr">
        <is>
          <t>Feature #90447: FR3-20250601 - Nauji kliento poreikiai | susitikimų minutės (Pradžia 2025-06-04) | LTG/GO-ERP</t>
        </is>
      </c>
      <c r="E154" t="inlineStr">
        <is>
          <t>Kliento pateiktų poreikių vertinimas ir perdavimas atgal klientui su komentarais(galimybės įgyvendinti, rizikos ir potencialūs sprendimo būdai)</t>
        </is>
      </c>
      <c r="F154" t="n">
        <v>3</v>
      </c>
      <c r="G154" t="inlineStr">
        <is>
          <t>Yes</t>
        </is>
      </c>
      <c r="H154">
        <f>+WEEKNUM(A154)</f>
        <v/>
      </c>
      <c r="I154">
        <f>+YEAR(A154)</f>
        <v/>
      </c>
    </row>
    <row r="155">
      <c r="A155" s="1" t="n">
        <v>45828</v>
      </c>
      <c r="B155" t="inlineStr">
        <is>
          <t>VilMat</t>
        </is>
      </c>
      <c r="C155" t="inlineStr">
        <is>
          <t>Consultant</t>
        </is>
      </c>
      <c r="D155" t="inlineStr">
        <is>
          <t>Feature #86268: FR1-20250625-000 - CRM &lt;&gt; KIWI integracija</t>
        </is>
      </c>
      <c r="E155" t="inlineStr">
        <is>
          <t>Prototipo pasiruošimas DEV aplinkoje (V1)</t>
        </is>
      </c>
      <c r="F155" t="n">
        <v>1.5</v>
      </c>
      <c r="G155" t="inlineStr">
        <is>
          <t>Yes</t>
        </is>
      </c>
      <c r="H155">
        <f>+WEEKNUM(A155)</f>
        <v/>
      </c>
      <c r="I155">
        <f>+YEAR(A155)</f>
        <v/>
      </c>
    </row>
    <row r="156">
      <c r="A156" s="1" t="n">
        <v>45826</v>
      </c>
      <c r="B156" t="inlineStr">
        <is>
          <t>VilMat</t>
        </is>
      </c>
      <c r="C156" t="inlineStr">
        <is>
          <t>Consultant</t>
        </is>
      </c>
      <c r="D156" t="inlineStr">
        <is>
          <t>Feature #86268: FR1-20250625-000 - CRM &lt;&gt; KIWI integracija</t>
        </is>
      </c>
      <c r="E156" t="inlineStr">
        <is>
          <t>Proceso dėliojimasis pagal aptartą logiką su komanda</t>
        </is>
      </c>
      <c r="F156" t="n">
        <v>1.5</v>
      </c>
      <c r="G156" t="inlineStr">
        <is>
          <t>Yes</t>
        </is>
      </c>
      <c r="H156">
        <f>+WEEKNUM(A156)</f>
        <v/>
      </c>
      <c r="I156">
        <f>+YEAR(A156)</f>
        <v/>
      </c>
    </row>
    <row r="157">
      <c r="A157" s="1" t="n">
        <v>45826</v>
      </c>
      <c r="B157" t="inlineStr">
        <is>
          <t>VilMat</t>
        </is>
      </c>
      <c r="C157" t="inlineStr">
        <is>
          <t>Consultant</t>
        </is>
      </c>
      <c r="D157" t="inlineStr">
        <is>
          <t>Feature #86268: FR1-20250625-000 - CRM &lt;&gt; KIWI integracija</t>
        </is>
      </c>
      <c r="E157" t="inlineStr">
        <is>
          <t>Informacijos surinkimas į vieną vietą, kliento atsakymų peržiūra</t>
        </is>
      </c>
      <c r="F157" t="n">
        <v>0.5</v>
      </c>
      <c r="G157" t="inlineStr">
        <is>
          <t>Yes</t>
        </is>
      </c>
      <c r="H157">
        <f>+WEEKNUM(A157)</f>
        <v/>
      </c>
      <c r="I157">
        <f>+YEAR(A157)</f>
        <v/>
      </c>
    </row>
    <row r="158">
      <c r="A158" s="1" t="n">
        <v>45826</v>
      </c>
      <c r="B158" t="inlineStr">
        <is>
          <t>VilMat</t>
        </is>
      </c>
      <c r="C158" t="inlineStr">
        <is>
          <t>Consultant</t>
        </is>
      </c>
      <c r="D158" t="inlineStr">
        <is>
          <t>Feature #86268: FR1-20250625-000 - CRM &lt;&gt; KIWI integracija</t>
        </is>
      </c>
      <c r="E158" t="inlineStr">
        <is>
          <t xml:space="preserve">KIWI integracijos vidinis susitikimas suderinti galimybes funkciniam išpildymui ir galimam prototipo ruošimui  </t>
        </is>
      </c>
      <c r="F158" t="n">
        <v>1.5</v>
      </c>
      <c r="G158" t="inlineStr">
        <is>
          <t>Yes</t>
        </is>
      </c>
      <c r="H158">
        <f>+WEEKNUM(A158)</f>
        <v/>
      </c>
      <c r="I158">
        <f>+YEAR(A158)</f>
        <v/>
      </c>
    </row>
    <row r="159">
      <c r="A159" s="1" t="n">
        <v>45826</v>
      </c>
      <c r="B159" t="inlineStr">
        <is>
          <t>VilMat</t>
        </is>
      </c>
      <c r="C159" t="inlineStr">
        <is>
          <t>Consultant</t>
        </is>
      </c>
      <c r="D159" t="inlineStr">
        <is>
          <t>Feature #86268: FR1-20250625-000 - CRM &lt;&gt; KIWI integracija</t>
        </is>
      </c>
      <c r="E159" t="inlineStr">
        <is>
          <t>Būsimo susitikimo derinimas su klientu</t>
        </is>
      </c>
      <c r="F159" t="n">
        <v>0.25</v>
      </c>
      <c r="G159" t="inlineStr">
        <is>
          <t>Yes</t>
        </is>
      </c>
      <c r="H159">
        <f>+WEEKNUM(A159)</f>
        <v/>
      </c>
      <c r="I159">
        <f>+YEAR(A159)</f>
        <v/>
      </c>
    </row>
    <row r="160">
      <c r="A160" s="1" t="n">
        <v>45825</v>
      </c>
      <c r="B160" t="inlineStr">
        <is>
          <t>VilMat</t>
        </is>
      </c>
      <c r="C160" t="inlineStr">
        <is>
          <t>Consultant</t>
        </is>
      </c>
      <c r="D160" t="inlineStr">
        <is>
          <t>Feature #90447: FR3-20250601 - Nauji kliento poreikiai | susitikimų minutės (Pradžia 2025-06-04) | LTG/GO-ERP</t>
        </is>
      </c>
      <c r="E160" t="inlineStr">
        <is>
          <t xml:space="preserve">Naujausios kliento pateiktos poreikių dokumento versijos peržiūra ir komentarai </t>
        </is>
      </c>
      <c r="F160" t="n">
        <v>1</v>
      </c>
      <c r="G160" t="inlineStr">
        <is>
          <t>Yes</t>
        </is>
      </c>
      <c r="H160">
        <f>+WEEKNUM(A160)</f>
        <v/>
      </c>
      <c r="I160">
        <f>+YEAR(A160)</f>
        <v/>
      </c>
    </row>
    <row r="161">
      <c r="A161" s="1" t="n">
        <v>45821</v>
      </c>
      <c r="B161" t="inlineStr">
        <is>
          <t>VilMat</t>
        </is>
      </c>
      <c r="C161" t="inlineStr">
        <is>
          <t>Consultant</t>
        </is>
      </c>
      <c r="D161" t="inlineStr">
        <is>
          <t>Feature #90447: FR3-20250601 - Nauji kliento poreikiai | susitikimų minutės (Pradžia 2025-06-04) | LTG/GO-ERP</t>
        </is>
      </c>
      <c r="E161" t="inlineStr">
        <is>
          <t>Patikrinti ar galima peržiūrėti gautą dokumentą, atlikti pakeitimus, informuoti klientą</t>
        </is>
      </c>
      <c r="F161" t="n">
        <v>0.25</v>
      </c>
      <c r="G161" t="inlineStr">
        <is>
          <t>Yes</t>
        </is>
      </c>
      <c r="H161">
        <f>+WEEKNUM(A161)</f>
        <v/>
      </c>
      <c r="I161">
        <f>+YEAR(A161)</f>
        <v/>
      </c>
    </row>
    <row r="162">
      <c r="A162" s="1" t="n">
        <v>45820</v>
      </c>
      <c r="B162" t="inlineStr">
        <is>
          <t>VilMat</t>
        </is>
      </c>
      <c r="C162" t="inlineStr">
        <is>
          <t>Consultant</t>
        </is>
      </c>
      <c r="D162" t="inlineStr">
        <is>
          <t>Feature #90447: FR3-20250601 - Nauji kliento poreikiai | susitikimų minutės (Pradžia 2025-06-04) | LTG/GO-ERP</t>
        </is>
      </c>
      <c r="E162" t="inlineStr">
        <is>
          <t>naujausios informacijos atnaujinimas į užduotį</t>
        </is>
      </c>
      <c r="F162" t="n">
        <v>0.25</v>
      </c>
      <c r="G162" t="inlineStr">
        <is>
          <t>Yes</t>
        </is>
      </c>
      <c r="H162">
        <f>+WEEKNUM(A162)</f>
        <v/>
      </c>
      <c r="I162">
        <f>+YEAR(A162)</f>
        <v/>
      </c>
    </row>
    <row r="163">
      <c r="A163" s="1" t="n">
        <v>45820</v>
      </c>
      <c r="B163" t="inlineStr">
        <is>
          <t>VilMat</t>
        </is>
      </c>
      <c r="C163" t="inlineStr">
        <is>
          <t>Consultant</t>
        </is>
      </c>
      <c r="D163" t="inlineStr">
        <is>
          <t>Feature #90447: FR3-20250601 - Nauji kliento poreikiai | susitikimų minutės (Pradžia 2025-06-04) | LTG/GO-ERP</t>
        </is>
      </c>
      <c r="E163" t="inlineStr">
        <is>
          <t>Ketvirtasis susitikimas su klientu aptarti naujus galimus poreikius.</t>
        </is>
      </c>
      <c r="F163" t="n">
        <v>1.5</v>
      </c>
      <c r="G163" t="inlineStr">
        <is>
          <t>Yes</t>
        </is>
      </c>
      <c r="H163">
        <f>+WEEKNUM(A163)</f>
        <v/>
      </c>
      <c r="I163">
        <f>+YEAR(A163)</f>
        <v/>
      </c>
    </row>
    <row r="164">
      <c r="A164" s="1" t="n">
        <v>45819</v>
      </c>
      <c r="B164" t="inlineStr">
        <is>
          <t>VilMat</t>
        </is>
      </c>
      <c r="C164" t="inlineStr">
        <is>
          <t>Consultant</t>
        </is>
      </c>
      <c r="D164" t="inlineStr">
        <is>
          <t>Feature #90447: FR3-20250601 - Nauji kliento poreikiai | susitikimų minutės (Pradžia 2025-06-04) | LTG/GO-ERP</t>
        </is>
      </c>
      <c r="E164" t="inlineStr">
        <is>
          <t>Užduoties atnaujinimas po susitikimo su klientu</t>
        </is>
      </c>
      <c r="F164" t="n">
        <v>0.25</v>
      </c>
      <c r="G164" t="inlineStr">
        <is>
          <t>Yes</t>
        </is>
      </c>
      <c r="H164">
        <f>+WEEKNUM(A164)</f>
        <v/>
      </c>
      <c r="I164">
        <f>+YEAR(A164)</f>
        <v/>
      </c>
    </row>
    <row r="165">
      <c r="A165" s="1" t="n">
        <v>45819</v>
      </c>
      <c r="B165" t="inlineStr">
        <is>
          <t>VilMat</t>
        </is>
      </c>
      <c r="C165" t="inlineStr">
        <is>
          <t>Consultant</t>
        </is>
      </c>
      <c r="D165" t="inlineStr">
        <is>
          <t>Feature #90447: FR3-20250601 - Nauji kliento poreikiai | susitikimų minutės (Pradžia 2025-06-04) | LTG/GO-ERP</t>
        </is>
      </c>
      <c r="E165" t="inlineStr">
        <is>
          <t>Trečiasis MS Teams susitikimas su klientu aptarti naujus potencialius poreikius.</t>
        </is>
      </c>
      <c r="F165" t="n">
        <v>2</v>
      </c>
      <c r="G165" t="inlineStr">
        <is>
          <t>Yes</t>
        </is>
      </c>
      <c r="H165">
        <f>+WEEKNUM(A165)</f>
        <v/>
      </c>
      <c r="I165">
        <f>+YEAR(A165)</f>
        <v/>
      </c>
    </row>
    <row r="166">
      <c r="A166" s="1" t="n">
        <v>45817</v>
      </c>
      <c r="B166" t="inlineStr">
        <is>
          <t>VilMat</t>
        </is>
      </c>
      <c r="C166" t="inlineStr">
        <is>
          <t>Consultant</t>
        </is>
      </c>
      <c r="D166" t="inlineStr">
        <is>
          <t>Feature #90447: FR3-20250601 - Nauji kliento poreikiai | susitikimų minutės (Pradžia 2025-06-04) | LTG/GO-ERP</t>
        </is>
      </c>
      <c r="E166" t="inlineStr">
        <is>
          <t>Antrasis MS Teams susitikimas su klientu aptarti keliamus poreikius</t>
        </is>
      </c>
      <c r="F166" t="n">
        <v>2</v>
      </c>
      <c r="G166" t="inlineStr">
        <is>
          <t>Yes</t>
        </is>
      </c>
      <c r="H166">
        <f>+WEEKNUM(A166)</f>
        <v/>
      </c>
      <c r="I166">
        <f>+YEAR(A166)</f>
        <v/>
      </c>
    </row>
    <row r="167">
      <c r="A167" s="1" t="n">
        <v>45814</v>
      </c>
      <c r="B167" t="inlineStr">
        <is>
          <t>VilMat</t>
        </is>
      </c>
      <c r="C167" t="inlineStr">
        <is>
          <t>Consultant</t>
        </is>
      </c>
      <c r="D167" t="inlineStr">
        <is>
          <t>Feature #86268: FR1-20250625-000 - CRM &lt;&gt; KIWI integracija</t>
        </is>
      </c>
      <c r="E167" t="inlineStr">
        <is>
          <t>Gautos informacijos iš kliento per užduotį ir skambutį susisisteminimas</t>
        </is>
      </c>
      <c r="F167" t="n">
        <v>1</v>
      </c>
      <c r="G167" t="inlineStr">
        <is>
          <t>Yes</t>
        </is>
      </c>
      <c r="H167">
        <f>+WEEKNUM(A167)</f>
        <v/>
      </c>
      <c r="I167">
        <f>+YEAR(A167)</f>
        <v/>
      </c>
    </row>
    <row r="168">
      <c r="A168" s="1" t="n">
        <v>45812</v>
      </c>
      <c r="B168" t="inlineStr">
        <is>
          <t>VilMat</t>
        </is>
      </c>
      <c r="C168" t="inlineStr">
        <is>
          <t>Consultant</t>
        </is>
      </c>
      <c r="D168" t="inlineStr">
        <is>
          <t>Feature #90447: FR3-20250601 - Nauji kliento poreikiai | susitikimų minutės (Pradžia 2025-06-04) | LTG/GO-ERP</t>
        </is>
      </c>
      <c r="E168" t="inlineStr">
        <is>
          <t>MS Teams susitikimas su klientu aptarti potencialių naujų poreikių ir jų įgyvendinimo galimybių CRM sistemoje 2025-06-04</t>
        </is>
      </c>
      <c r="F168" t="n">
        <v>1.5</v>
      </c>
      <c r="G168" t="inlineStr">
        <is>
          <t>Yes</t>
        </is>
      </c>
      <c r="H168">
        <f>+WEEKNUM(A168)</f>
        <v/>
      </c>
      <c r="I168">
        <f>+YEAR(A168)</f>
        <v/>
      </c>
    </row>
    <row r="169">
      <c r="A169" s="1" t="n">
        <v>45804</v>
      </c>
      <c r="B169" t="inlineStr">
        <is>
          <t>VilMat</t>
        </is>
      </c>
      <c r="C169" t="inlineStr">
        <is>
          <t>Consultant</t>
        </is>
      </c>
      <c r="D169" t="inlineStr">
        <is>
          <t xml:space="preserve">Support #78567: Priedų nukrovimas iš DB </t>
        </is>
      </c>
      <c r="E169" t="inlineStr">
        <is>
          <t>Informuoti klientą apie nutarimus, pasiūlymus po turėto Teams skambučio</t>
        </is>
      </c>
      <c r="F169" t="n">
        <v>0.25</v>
      </c>
      <c r="G169" t="inlineStr">
        <is>
          <t>Yes</t>
        </is>
      </c>
      <c r="H169">
        <f>+WEEKNUM(A169)</f>
        <v/>
      </c>
      <c r="I169">
        <f>+YEAR(A169)</f>
        <v/>
      </c>
    </row>
    <row r="170">
      <c r="A170" s="1" t="n">
        <v>45800</v>
      </c>
      <c r="B170" t="inlineStr">
        <is>
          <t>VilMat</t>
        </is>
      </c>
      <c r="C170" t="inlineStr">
        <is>
          <t>Consultant</t>
        </is>
      </c>
      <c r="D170" t="inlineStr">
        <is>
          <t>Feature #86268: FR1-20250625-000 - CRM &lt;&gt; KIWI integracija</t>
        </is>
      </c>
      <c r="E170" t="inlineStr">
        <is>
          <t>Informacija ir vaizdo įrašo perdavimas klientui</t>
        </is>
      </c>
      <c r="F170" t="n">
        <v>0.5</v>
      </c>
      <c r="G170" t="inlineStr">
        <is>
          <t>Yes</t>
        </is>
      </c>
      <c r="H170">
        <f>+WEEKNUM(A170)</f>
        <v/>
      </c>
      <c r="I170">
        <f>+YEAR(A170)</f>
        <v/>
      </c>
    </row>
    <row r="171">
      <c r="A171" s="1" t="n">
        <v>45799</v>
      </c>
      <c r="B171" t="inlineStr">
        <is>
          <t>VilMat</t>
        </is>
      </c>
      <c r="C171" t="inlineStr">
        <is>
          <t>Consultant</t>
        </is>
      </c>
      <c r="D171" t="inlineStr">
        <is>
          <t>Feature #86268: FR1-20250625-000 - CRM &lt;&gt; KIWI integracija</t>
        </is>
      </c>
      <c r="E171" t="inlineStr">
        <is>
          <t>Pasitarimai komandos viduje po susitikimo su klientu</t>
        </is>
      </c>
      <c r="F171" t="n">
        <v>0.25</v>
      </c>
      <c r="G171" t="inlineStr">
        <is>
          <t>Yes</t>
        </is>
      </c>
      <c r="H171">
        <f>+WEEKNUM(A171)</f>
        <v/>
      </c>
      <c r="I171">
        <f>+YEAR(A171)</f>
        <v/>
      </c>
    </row>
    <row r="172">
      <c r="A172" s="1" t="n">
        <v>45799</v>
      </c>
      <c r="B172" t="inlineStr">
        <is>
          <t>VilMat</t>
        </is>
      </c>
      <c r="C172" t="inlineStr">
        <is>
          <t>Consultant</t>
        </is>
      </c>
      <c r="D172" t="inlineStr">
        <is>
          <t>Feature #86268: FR1-20250625-000 - CRM &lt;&gt; KIWI integracija</t>
        </is>
      </c>
      <c r="E172" t="inlineStr">
        <is>
          <t>Pasiruošimas prieš susitikimą su klientu.</t>
        </is>
      </c>
      <c r="F172" t="n">
        <v>0.5</v>
      </c>
      <c r="G172" t="inlineStr">
        <is>
          <t>Yes</t>
        </is>
      </c>
      <c r="H172">
        <f>+WEEKNUM(A172)</f>
        <v/>
      </c>
      <c r="I172">
        <f>+YEAR(A172)</f>
        <v/>
      </c>
    </row>
    <row r="173">
      <c r="A173" s="1" t="n">
        <v>45799</v>
      </c>
      <c r="B173" t="inlineStr">
        <is>
          <t>VilMat</t>
        </is>
      </c>
      <c r="C173" t="inlineStr">
        <is>
          <t>Consultant</t>
        </is>
      </c>
      <c r="D173" t="inlineStr">
        <is>
          <t>Feature #86268: FR1-20250625-000 - CRM &lt;&gt; KIWI integracija</t>
        </is>
      </c>
      <c r="E173" t="inlineStr">
        <is>
          <t xml:space="preserve">Teams vaizdo skambutis su klientu aptarti integracijos aspektus, suprasti dabartinę naudojamos KIWI sistemos plotmę iš kliento pusės. </t>
        </is>
      </c>
      <c r="F173" t="n">
        <v>1.5</v>
      </c>
      <c r="G173" t="inlineStr">
        <is>
          <t>Yes</t>
        </is>
      </c>
      <c r="H173">
        <f>+WEEKNUM(A173)</f>
        <v/>
      </c>
      <c r="I173">
        <f>+YEAR(A173)</f>
        <v/>
      </c>
    </row>
    <row r="174">
      <c r="A174" s="1" t="n">
        <v>45785</v>
      </c>
      <c r="B174" t="inlineStr">
        <is>
          <t>VilMat</t>
        </is>
      </c>
      <c r="C174" t="inlineStr">
        <is>
          <t>Project management</t>
        </is>
      </c>
      <c r="D174" t="inlineStr">
        <is>
          <t>Support #65707: Administravimas ir darbų koordinavimas</t>
        </is>
      </c>
      <c r="E174" t="inlineStr">
        <is>
          <t>Atvirų/uždarytų užduočių sužiūrėjimas, datų atnaujinimas, uždarymas įvykdytų.</t>
        </is>
      </c>
      <c r="F174" t="n">
        <v>0.5</v>
      </c>
      <c r="G174" t="inlineStr">
        <is>
          <t>Yes</t>
        </is>
      </c>
      <c r="H174">
        <f>+WEEKNUM(A174)</f>
        <v/>
      </c>
      <c r="I174">
        <f>+YEAR(A174)</f>
        <v/>
      </c>
    </row>
    <row r="175">
      <c r="A175" s="1" t="n">
        <v>45785</v>
      </c>
      <c r="B175" t="inlineStr">
        <is>
          <t>VilMat</t>
        </is>
      </c>
      <c r="C175" t="inlineStr">
        <is>
          <t>Consultant</t>
        </is>
      </c>
      <c r="D175" t="inlineStr">
        <is>
          <t>Support #65707: Administravimas ir darbų koordinavimas</t>
        </is>
      </c>
      <c r="E175" t="inlineStr">
        <is>
          <t>Stand Up susitikimas su Vladu</t>
        </is>
      </c>
      <c r="F175" t="n">
        <v>0.5</v>
      </c>
      <c r="G175" t="inlineStr">
        <is>
          <t>Yes</t>
        </is>
      </c>
      <c r="H175">
        <f>+WEEKNUM(A175)</f>
        <v/>
      </c>
      <c r="I175">
        <f>+YEAR(A175)</f>
        <v/>
      </c>
    </row>
    <row r="176">
      <c r="A176" s="1" t="n">
        <v>45777</v>
      </c>
      <c r="B176" t="inlineStr">
        <is>
          <t>VilMat</t>
        </is>
      </c>
      <c r="C176" t="inlineStr">
        <is>
          <t>Consultant</t>
        </is>
      </c>
      <c r="D176" t="inlineStr">
        <is>
          <t>Feature #86268: FR1-20250625-000 - CRM &lt;&gt; KIWI integracija</t>
        </is>
      </c>
      <c r="E176" t="inlineStr">
        <is>
          <t>Aptarimas dėl užduoties</t>
        </is>
      </c>
      <c r="F176" t="n">
        <v>0.25</v>
      </c>
      <c r="G176" t="inlineStr">
        <is>
          <t>Yes</t>
        </is>
      </c>
      <c r="H176">
        <f>+WEEKNUM(A176)</f>
        <v/>
      </c>
      <c r="I176">
        <f>+YEAR(A176)</f>
        <v/>
      </c>
    </row>
    <row r="177">
      <c r="A177" s="1" t="n">
        <v>45776</v>
      </c>
      <c r="B177" t="inlineStr">
        <is>
          <t>VilMat</t>
        </is>
      </c>
      <c r="C177" t="inlineStr">
        <is>
          <t>Consultant</t>
        </is>
      </c>
      <c r="D177" t="inlineStr">
        <is>
          <t xml:space="preserve">Support #78567: Priedų nukrovimas iš DB </t>
        </is>
      </c>
      <c r="E177" t="inlineStr">
        <is>
          <t>Komunikacija su klientu (Egidijumi)</t>
        </is>
      </c>
      <c r="F177" t="n">
        <v>1</v>
      </c>
      <c r="G177" t="inlineStr">
        <is>
          <t>Yes</t>
        </is>
      </c>
      <c r="H177">
        <f>+WEEKNUM(A177)</f>
        <v/>
      </c>
      <c r="I177">
        <f>+YEAR(A177)</f>
        <v/>
      </c>
    </row>
    <row r="178">
      <c r="A178" s="1" t="n">
        <v>45755</v>
      </c>
      <c r="B178" t="inlineStr">
        <is>
          <t>VilMat</t>
        </is>
      </c>
      <c r="C178" t="inlineStr">
        <is>
          <t>Consultant</t>
        </is>
      </c>
      <c r="D178" t="inlineStr">
        <is>
          <t xml:space="preserve">Support #78567: Priedų nukrovimas iš DB </t>
        </is>
      </c>
      <c r="E178" t="inlineStr">
        <is>
          <t>Pasianalizuoti dokumentacijas ir patikrinti ar pas LTG jau įgalintas naujasis modelis, kuris attachment'us traktuoja kaip file usage, o ne database usage. Informuoti Egidijų, ką tai reiškia jiems sprendimo atveju.</t>
        </is>
      </c>
      <c r="F178" t="n">
        <v>0.5</v>
      </c>
      <c r="G178" t="inlineStr">
        <is>
          <t>Yes</t>
        </is>
      </c>
      <c r="H178">
        <f>+WEEKNUM(A178)</f>
        <v/>
      </c>
      <c r="I178">
        <f>+YEAR(A178)</f>
        <v/>
      </c>
    </row>
    <row r="179">
      <c r="A179" s="1" t="n">
        <v>45755</v>
      </c>
      <c r="B179" t="inlineStr">
        <is>
          <t>VilMat</t>
        </is>
      </c>
      <c r="C179" t="inlineStr">
        <is>
          <t>Consultant</t>
        </is>
      </c>
      <c r="D179" t="inlineStr">
        <is>
          <t xml:space="preserve">Support #78567: Priedų nukrovimas iš DB </t>
        </is>
      </c>
      <c r="E179" t="inlineStr">
        <is>
          <t>Skambutis su Egidijumi, dėl funkcijos naudos ir siūlomo alternatyvaus scenarijaus išpildymo</t>
        </is>
      </c>
      <c r="F179" t="n">
        <v>0.5</v>
      </c>
      <c r="G179" t="inlineStr">
        <is>
          <t>Yes</t>
        </is>
      </c>
      <c r="H179">
        <f>+WEEKNUM(A179)</f>
        <v/>
      </c>
      <c r="I179">
        <f>+YEAR(A179)</f>
        <v/>
      </c>
    </row>
    <row r="180">
      <c r="A180" s="1" t="n">
        <v>45679</v>
      </c>
      <c r="B180" t="inlineStr">
        <is>
          <t>VilMat</t>
        </is>
      </c>
      <c r="C180" t="inlineStr">
        <is>
          <t>Project management</t>
        </is>
      </c>
      <c r="D180" t="inlineStr">
        <is>
          <t>Support #65707: Administravimas ir darbų koordinavimas</t>
        </is>
      </c>
      <c r="E180" t="inlineStr">
        <is>
          <t>LTG - Atliktų modifikacijų projekto pliusai, minusai - Informacija Ingridai</t>
        </is>
      </c>
      <c r="F180" t="n">
        <v>0.5</v>
      </c>
      <c r="G180" t="inlineStr">
        <is>
          <t>Yes</t>
        </is>
      </c>
      <c r="H180">
        <f>+WEEKNUM(A180)</f>
        <v/>
      </c>
      <c r="I180">
        <f>+YEAR(A180)</f>
        <v/>
      </c>
    </row>
    <row r="181">
      <c r="A181" s="1" t="n">
        <v>45679</v>
      </c>
      <c r="B181" t="inlineStr">
        <is>
          <t>VilMat</t>
        </is>
      </c>
      <c r="C181" t="inlineStr">
        <is>
          <t>Consultant</t>
        </is>
      </c>
      <c r="D181" t="inlineStr">
        <is>
          <t xml:space="preserve">Support #78567: Priedų nukrovimas iš DB </t>
        </is>
      </c>
      <c r="E181" t="inlineStr">
        <is>
          <t>Skambutis su Gyčiu - pasitarimas ir detalių pas klientą patikrinimas, atvirų klausimų atsakymas Gyčiui</t>
        </is>
      </c>
      <c r="F181" t="n">
        <v>0.5</v>
      </c>
      <c r="G181" t="inlineStr">
        <is>
          <t>Yes</t>
        </is>
      </c>
      <c r="H181">
        <f>+WEEKNUM(A181)</f>
        <v/>
      </c>
      <c r="I181">
        <f>+YEAR(A181)</f>
        <v/>
      </c>
    </row>
    <row r="182">
      <c r="A182" s="1" t="n">
        <v>45679</v>
      </c>
      <c r="B182" t="inlineStr">
        <is>
          <t>VilMat</t>
        </is>
      </c>
      <c r="C182" t="inlineStr">
        <is>
          <t>Project management</t>
        </is>
      </c>
      <c r="D182" t="inlineStr">
        <is>
          <t>Support #65707: Administravimas ir darbų koordinavimas</t>
        </is>
      </c>
      <c r="E182" t="inlineStr">
        <is>
          <t>LG project further actions - With Vladas</t>
        </is>
      </c>
      <c r="F182" t="n">
        <v>0.25</v>
      </c>
      <c r="G182" t="inlineStr">
        <is>
          <t>Yes</t>
        </is>
      </c>
      <c r="H182">
        <f>+WEEKNUM(A182)</f>
        <v/>
      </c>
      <c r="I182">
        <f>+YEAR(A182)</f>
        <v/>
      </c>
    </row>
    <row r="183">
      <c r="A183" s="1" t="n">
        <v>45679</v>
      </c>
      <c r="B183" t="inlineStr">
        <is>
          <t>GytKav</t>
        </is>
      </c>
      <c r="C183" t="inlineStr">
        <is>
          <t>Consultant</t>
        </is>
      </c>
      <c r="D183" t="inlineStr">
        <is>
          <t xml:space="preserve">Support #78567: Priedų nukrovimas iš DB </t>
        </is>
      </c>
      <c r="E183" t="inlineStr">
        <is>
          <t>Pokalbis su vilintu, funkcionalumo aprašymas</t>
        </is>
      </c>
      <c r="F183" t="n">
        <v>1</v>
      </c>
      <c r="G183" t="inlineStr">
        <is>
          <t>Yes</t>
        </is>
      </c>
      <c r="H183">
        <f>+WEEKNUM(A183)</f>
        <v/>
      </c>
      <c r="I183">
        <f>+YEAR(A183)</f>
        <v/>
      </c>
    </row>
    <row r="184">
      <c r="A184" s="1" t="n">
        <v>45678</v>
      </c>
      <c r="B184" t="inlineStr">
        <is>
          <t>UgnMar</t>
        </is>
      </c>
      <c r="C184" t="inlineStr">
        <is>
          <t>Consultant</t>
        </is>
      </c>
      <c r="D184" t="inlineStr">
        <is>
          <t>Support #78569: BDAR atitikties užtikrinimas</t>
        </is>
      </c>
      <c r="E184" t="inlineStr">
        <is>
          <t>Vertinimas, analizė</t>
        </is>
      </c>
      <c r="F184" t="n">
        <v>0.5</v>
      </c>
      <c r="G184" t="inlineStr">
        <is>
          <t>Yes</t>
        </is>
      </c>
      <c r="H184">
        <f>+WEEKNUM(A184)</f>
        <v/>
      </c>
      <c r="I184">
        <f>+YEAR(A184)</f>
        <v/>
      </c>
    </row>
    <row r="185">
      <c r="A185" s="1" t="n">
        <v>45670</v>
      </c>
      <c r="B185" t="inlineStr">
        <is>
          <t>VilMat</t>
        </is>
      </c>
      <c r="C185" t="inlineStr">
        <is>
          <t>Consultant</t>
        </is>
      </c>
      <c r="D185" t="inlineStr">
        <is>
          <t>Feature #76336: FR - Užduočių(Task) ir Užklausų(Case) modulių modifikacijos</t>
        </is>
      </c>
      <c r="E185" t="inlineStr">
        <is>
          <t>Atsakymai Egidijui duomenų importo ir dublikatų sprendimo klausimu atliktų darbų kontekste</t>
        </is>
      </c>
      <c r="F185" t="n">
        <v>0.5</v>
      </c>
      <c r="G185" t="inlineStr">
        <is>
          <t>Yes</t>
        </is>
      </c>
      <c r="H185">
        <f>+WEEKNUM(A185)</f>
        <v/>
      </c>
      <c r="I185">
        <f>+YEAR(A185)</f>
        <v/>
      </c>
    </row>
    <row r="186">
      <c r="A186" s="1" t="n">
        <v>45637</v>
      </c>
      <c r="B186" t="inlineStr">
        <is>
          <t>VilMat</t>
        </is>
      </c>
      <c r="C186" t="inlineStr">
        <is>
          <t>Project management</t>
        </is>
      </c>
      <c r="D186" t="inlineStr">
        <is>
          <t>Support #65707: Administravimas ir darbų koordinavimas</t>
        </is>
      </c>
      <c r="E186" t="inlineStr">
        <is>
          <t>Projekto užduočių uždarymas kartu su Vladu</t>
        </is>
      </c>
      <c r="F186" t="n">
        <v>1.5</v>
      </c>
      <c r="G186" t="inlineStr">
        <is>
          <t>No</t>
        </is>
      </c>
      <c r="H186">
        <f>+WEEKNUM(A186)</f>
        <v/>
      </c>
      <c r="I186">
        <f>+YEAR(A186)</f>
        <v/>
      </c>
    </row>
    <row r="187">
      <c r="A187" s="1" t="n">
        <v>45636</v>
      </c>
      <c r="B187" t="inlineStr">
        <is>
          <t>VilMat</t>
        </is>
      </c>
      <c r="C187" t="inlineStr">
        <is>
          <t>Consultant</t>
        </is>
      </c>
      <c r="D187" t="inlineStr">
        <is>
          <t>Feature #77348: Pridėti papildomą parinktį užklausos laukelyje "Pretenzijos nepagrįstumo priežastis"</t>
        </is>
      </c>
      <c r="E187" t="inlineStr">
        <is>
          <t>Poreikio vertinimas ir užduoties paruošimas klientui patvirtinti.</t>
        </is>
      </c>
      <c r="F187" t="n">
        <v>0.5</v>
      </c>
      <c r="G187" t="inlineStr">
        <is>
          <t>Yes</t>
        </is>
      </c>
      <c r="H187">
        <f>+WEEKNUM(A187)</f>
        <v/>
      </c>
      <c r="I187">
        <f>+YEAR(A187)</f>
        <v/>
      </c>
    </row>
    <row r="188">
      <c r="A188" s="1" t="n">
        <v>45629</v>
      </c>
      <c r="B188" t="inlineStr">
        <is>
          <t>VilMat</t>
        </is>
      </c>
      <c r="C188" t="inlineStr">
        <is>
          <t>Project management</t>
        </is>
      </c>
      <c r="D188" t="inlineStr">
        <is>
          <t>Support #65707: Administravimas ir darbų koordinavimas</t>
        </is>
      </c>
      <c r="E188" t="inlineStr">
        <is>
          <t>LTG - Su Vladu dėl LTG užduočių ir aktavimosi</t>
        </is>
      </c>
      <c r="F188" t="n">
        <v>0.25</v>
      </c>
      <c r="G188" t="inlineStr">
        <is>
          <t>Yes</t>
        </is>
      </c>
      <c r="H188">
        <f>+WEEKNUM(A188)</f>
        <v/>
      </c>
      <c r="I188">
        <f>+YEAR(A188)</f>
        <v/>
      </c>
    </row>
    <row r="189">
      <c r="A189" s="1" t="n">
        <v>45628</v>
      </c>
      <c r="B189" t="inlineStr">
        <is>
          <t>VilMat</t>
        </is>
      </c>
      <c r="C189" t="inlineStr">
        <is>
          <t>Consultant</t>
        </is>
      </c>
      <c r="D189" t="inlineStr">
        <is>
          <t>Bug #72481: FR3-240906-015 Kliento atliktų testavimo rezultatų taisymams skirto laiko fiksavimas</t>
        </is>
      </c>
      <c r="E189" t="inlineStr">
        <is>
          <t>flow loop'as, informacija programuotojui ir taisymai bei užkėlimas į Test/Prod.</t>
        </is>
      </c>
      <c r="F189" t="n">
        <v>0.5</v>
      </c>
      <c r="G189" t="inlineStr">
        <is>
          <t>No</t>
        </is>
      </c>
      <c r="H189">
        <f>+WEEKNUM(A189)</f>
        <v/>
      </c>
      <c r="I189">
        <f>+YEAR(A189)</f>
        <v/>
      </c>
    </row>
    <row r="190">
      <c r="A190" s="1" t="n">
        <v>45625</v>
      </c>
      <c r="B190" t="inlineStr">
        <is>
          <t>GabKoj</t>
        </is>
      </c>
      <c r="C190" t="inlineStr">
        <is>
          <t>Developer</t>
        </is>
      </c>
      <c r="D190" t="inlineStr">
        <is>
          <t>Feature #76338: FR1, FR2, FR3 modifikacijų duomenų paketų migravimas į Produkcinę aplinką ir Testavimo darbai</t>
        </is>
      </c>
      <c r="E190" t="inlineStr">
        <is>
          <t xml:space="preserve">CS-Overtime - FR1,FR2,FR3 modifikacijų, korekcijų ir pašalintų klaidų migracija į produkcinę aplinką. Testavimo darbai. Klaidų pašalinimas. </t>
        </is>
      </c>
      <c r="F190" t="n">
        <v>5</v>
      </c>
      <c r="G190" t="inlineStr">
        <is>
          <t>Yes</t>
        </is>
      </c>
      <c r="H190">
        <f>+WEEKNUM(A190)</f>
        <v/>
      </c>
      <c r="I190">
        <f>+YEAR(A190)</f>
        <v/>
      </c>
    </row>
    <row r="191">
      <c r="A191" s="1" t="n">
        <v>45625</v>
      </c>
      <c r="B191" t="inlineStr">
        <is>
          <t>VilMat</t>
        </is>
      </c>
      <c r="C191" t="inlineStr">
        <is>
          <t>Consultant</t>
        </is>
      </c>
      <c r="D191" t="inlineStr">
        <is>
          <t>Feature #76336: FR - Užduočių(Task) ir Užklausų(Case) modulių modifikacijos</t>
        </is>
      </c>
      <c r="E191" t="inlineStr">
        <is>
          <t>Redmine užduočių sutvarkymas, statusų atnaujinimas, komentarų surašymas projekto apimtyje</t>
        </is>
      </c>
      <c r="F191" t="n">
        <v>1.75</v>
      </c>
      <c r="G191" t="inlineStr">
        <is>
          <t>Yes</t>
        </is>
      </c>
      <c r="H191">
        <f>+WEEKNUM(A191)</f>
        <v/>
      </c>
      <c r="I191">
        <f>+YEAR(A191)</f>
        <v/>
      </c>
    </row>
    <row r="192">
      <c r="A192" s="1" t="n">
        <v>45625</v>
      </c>
      <c r="B192" t="inlineStr">
        <is>
          <t>VilMat</t>
        </is>
      </c>
      <c r="C192" t="inlineStr">
        <is>
          <t>Consultant</t>
        </is>
      </c>
      <c r="D192" t="inlineStr">
        <is>
          <t>Feature #76338: FR1, FR2, FR3 modifikacijų duomenų paketų migravimas į Produkcinę aplinką ir Testavimo darbai</t>
        </is>
      </c>
      <c r="E192" t="inlineStr">
        <is>
          <t xml:space="preserve">CS-Overtime - FR1,FR2,FR3 modifikacijų, korekcijų ir pašalintų klaidų migracija į produkcinę aplinką. Testavimo darbai. Klaidų pašalinimas. </t>
        </is>
      </c>
      <c r="F192" t="n">
        <v>5</v>
      </c>
      <c r="G192" t="inlineStr">
        <is>
          <t>Yes</t>
        </is>
      </c>
      <c r="H192">
        <f>+WEEKNUM(A192)</f>
        <v/>
      </c>
      <c r="I192">
        <f>+YEAR(A192)</f>
        <v/>
      </c>
    </row>
    <row r="193">
      <c r="A193" s="1" t="n">
        <v>45624</v>
      </c>
      <c r="B193" t="inlineStr">
        <is>
          <t>GabKoj</t>
        </is>
      </c>
      <c r="C193" t="inlineStr">
        <is>
          <t>Developer</t>
        </is>
      </c>
      <c r="D193" t="inlineStr">
        <is>
          <t>Feature #76338: FR1, FR2, FR3 modifikacijų duomenų paketų migravimas į Produkcinę aplinką ir Testavimo darbai</t>
        </is>
      </c>
      <c r="E193" t="inlineStr">
        <is>
          <t xml:space="preserve">CS-Overtime - FR1,FR2,FR3 modifikacijų, korekcijų ir pašalintų klaidų migracija į produkcinę aplinką. Testavimo darbai. Klaidų pašalinimas. </t>
        </is>
      </c>
      <c r="F193" t="n">
        <v>6</v>
      </c>
      <c r="G193" t="inlineStr">
        <is>
          <t>Yes</t>
        </is>
      </c>
      <c r="H193">
        <f>+WEEKNUM(A193)</f>
        <v/>
      </c>
      <c r="I193">
        <f>+YEAR(A193)</f>
        <v/>
      </c>
    </row>
    <row r="194">
      <c r="A194" s="1" t="n">
        <v>45624</v>
      </c>
      <c r="B194" t="inlineStr">
        <is>
          <t>VilMat</t>
        </is>
      </c>
      <c r="C194" t="inlineStr">
        <is>
          <t>Consultant</t>
        </is>
      </c>
      <c r="D194" t="inlineStr">
        <is>
          <t>Feature #76338: FR1, FR2, FR3 modifikacijų duomenų paketų migravimas į Produkcinę aplinką ir Testavimo darbai</t>
        </is>
      </c>
      <c r="E194" t="inlineStr">
        <is>
          <t xml:space="preserve">CS-Overtime - FR1,FR2,FR3 modifikacijų, korekcijų ir pašalintų klaidų migracija į produkcinę aplinką. Testavimo darbai. Klaidų pašalinimas. </t>
        </is>
      </c>
      <c r="F194" t="n">
        <v>6</v>
      </c>
      <c r="G194" t="inlineStr">
        <is>
          <t>Yes</t>
        </is>
      </c>
      <c r="H194">
        <f>+WEEKNUM(A194)</f>
        <v/>
      </c>
      <c r="I194">
        <f>+YEAR(A194)</f>
        <v/>
      </c>
    </row>
    <row r="195">
      <c r="A195" s="1" t="n">
        <v>45624</v>
      </c>
      <c r="B195" t="inlineStr">
        <is>
          <t>VilMat</t>
        </is>
      </c>
      <c r="C195" t="inlineStr">
        <is>
          <t>Consultant</t>
        </is>
      </c>
      <c r="D195" t="inlineStr">
        <is>
          <t>Support #75103: UAT testavimo rezultatai</t>
        </is>
      </c>
      <c r="E195" t="inlineStr">
        <is>
          <t>Flow struktūros peržiūra ir galimi pakeitimo būdai, kad sistema aktyvintų procesą tik kartą.</t>
        </is>
      </c>
      <c r="F195" t="n">
        <v>0.75</v>
      </c>
      <c r="G195" t="inlineStr">
        <is>
          <t>Yes</t>
        </is>
      </c>
      <c r="H195">
        <f>+WEEKNUM(A195)</f>
        <v/>
      </c>
      <c r="I195">
        <f>+YEAR(A195)</f>
        <v/>
      </c>
    </row>
    <row r="196">
      <c r="A196" s="1" t="n">
        <v>45623</v>
      </c>
      <c r="B196" t="inlineStr">
        <is>
          <t>GabKoj</t>
        </is>
      </c>
      <c r="C196" t="inlineStr">
        <is>
          <t>Developer</t>
        </is>
      </c>
      <c r="D196" t="inlineStr">
        <is>
          <t>Support #75103: UAT testavimo rezultatai</t>
        </is>
      </c>
      <c r="E196" t="inlineStr">
        <is>
          <t>last bug fixes</t>
        </is>
      </c>
      <c r="F196" t="n">
        <v>2.5</v>
      </c>
      <c r="G196" t="inlineStr">
        <is>
          <t>Yes</t>
        </is>
      </c>
      <c r="H196">
        <f>+WEEKNUM(A196)</f>
        <v/>
      </c>
      <c r="I196">
        <f>+YEAR(A196)</f>
        <v/>
      </c>
    </row>
    <row r="197">
      <c r="A197" s="1" t="n">
        <v>45623</v>
      </c>
      <c r="B197" t="inlineStr">
        <is>
          <t>VilMat</t>
        </is>
      </c>
      <c r="C197" t="inlineStr">
        <is>
          <t>Consultant</t>
        </is>
      </c>
      <c r="D197" t="inlineStr">
        <is>
          <t>Support #75103: UAT testavimo rezultatai</t>
        </is>
      </c>
      <c r="E197" t="inlineStr">
        <is>
          <t>Papildomas testavimas jau egzistuojančios logikos su case įrašais ir komentarai Egidijui</t>
        </is>
      </c>
      <c r="F197" t="n">
        <v>0.5</v>
      </c>
      <c r="G197" t="inlineStr">
        <is>
          <t>Yes</t>
        </is>
      </c>
      <c r="H197">
        <f>+WEEKNUM(A197)</f>
        <v/>
      </c>
      <c r="I197">
        <f>+YEAR(A197)</f>
        <v/>
      </c>
    </row>
    <row r="198">
      <c r="A198" s="1" t="n">
        <v>45623</v>
      </c>
      <c r="B198" t="inlineStr">
        <is>
          <t>VilMat</t>
        </is>
      </c>
      <c r="C198" t="inlineStr">
        <is>
          <t>Consultant</t>
        </is>
      </c>
      <c r="D198" t="inlineStr">
        <is>
          <t>Support #75103: UAT testavimo rezultatai</t>
        </is>
      </c>
      <c r="E198" t="inlineStr">
        <is>
          <t>Kliento praneštų klaidų testavimas ir perdavimas su rezultatais programuotojui patikrinti</t>
        </is>
      </c>
      <c r="F198" t="n">
        <v>0.5</v>
      </c>
      <c r="G198" t="inlineStr">
        <is>
          <t>Yes</t>
        </is>
      </c>
      <c r="H198">
        <f>+WEEKNUM(A198)</f>
        <v/>
      </c>
      <c r="I198">
        <f>+YEAR(A198)</f>
        <v/>
      </c>
    </row>
    <row r="199">
      <c r="A199" s="1" t="n">
        <v>45623</v>
      </c>
      <c r="B199" t="inlineStr">
        <is>
          <t>VilMat</t>
        </is>
      </c>
      <c r="C199" t="inlineStr">
        <is>
          <t>Consultant</t>
        </is>
      </c>
      <c r="D199" t="inlineStr">
        <is>
          <t>Support #75103: UAT testavimo rezultatai</t>
        </is>
      </c>
      <c r="E199" t="inlineStr">
        <is>
          <t>Aptiktų klaidų testavimas ir skirtumų identifikavimas. Probleminės vietos apsibrėžimas tolimesniam programuotojo patikrinimui.</t>
        </is>
      </c>
      <c r="F199" t="n">
        <v>0.75</v>
      </c>
      <c r="G199" t="inlineStr">
        <is>
          <t>Yes</t>
        </is>
      </c>
      <c r="H199">
        <f>+WEEKNUM(A199)</f>
        <v/>
      </c>
      <c r="I199">
        <f>+YEAR(A199)</f>
        <v/>
      </c>
    </row>
    <row r="200">
      <c r="A200" s="1" t="n">
        <v>45614</v>
      </c>
      <c r="B200" t="inlineStr">
        <is>
          <t>VilMat</t>
        </is>
      </c>
      <c r="C200" t="inlineStr">
        <is>
          <t>Consultant</t>
        </is>
      </c>
      <c r="D200" t="inlineStr">
        <is>
          <t>Support #75103: UAT testavimo rezultatai</t>
        </is>
      </c>
      <c r="E200" t="inlineStr">
        <is>
          <t>Sistemos modulių komponentų vertimai, importas į sandbox, exportas ir importas į testinę aplinką</t>
        </is>
      </c>
      <c r="F200" t="n">
        <v>2.5</v>
      </c>
      <c r="G200" t="inlineStr">
        <is>
          <t>Yes</t>
        </is>
      </c>
      <c r="H200">
        <f>+WEEKNUM(A200)</f>
        <v/>
      </c>
      <c r="I200">
        <f>+YEAR(A200)</f>
        <v/>
      </c>
    </row>
    <row r="201">
      <c r="A201" s="1" t="n">
        <v>45613</v>
      </c>
      <c r="B201" t="inlineStr">
        <is>
          <t>VilMat</t>
        </is>
      </c>
      <c r="C201" t="inlineStr">
        <is>
          <t>Consultant</t>
        </is>
      </c>
      <c r="D201" t="inlineStr">
        <is>
          <t>Support #75103: UAT testavimo rezultatai</t>
        </is>
      </c>
      <c r="E201" t="inlineStr">
        <is>
          <t>Overtime - Excel failų atnaujinimas su komentarais ir perdavimas klientui</t>
        </is>
      </c>
      <c r="F201" t="n">
        <v>1</v>
      </c>
      <c r="G201" t="inlineStr">
        <is>
          <t>Yes</t>
        </is>
      </c>
      <c r="H201">
        <f>+WEEKNUM(A201)</f>
        <v/>
      </c>
      <c r="I201">
        <f>+YEAR(A201)</f>
        <v/>
      </c>
    </row>
    <row r="202">
      <c r="A202" s="1" t="n">
        <v>45611</v>
      </c>
      <c r="B202" t="inlineStr">
        <is>
          <t>GabKoj</t>
        </is>
      </c>
      <c r="C202" t="inlineStr">
        <is>
          <t>Developer</t>
        </is>
      </c>
      <c r="D202" t="inlineStr">
        <is>
          <t>Support #75103: UAT testavimo rezultatai</t>
        </is>
      </c>
      <c r="E202" t="inlineStr">
        <is>
          <t>rezuztatu testavimas, tvarkymas klaidu</t>
        </is>
      </c>
      <c r="F202" t="n">
        <v>4.5</v>
      </c>
      <c r="G202" t="inlineStr">
        <is>
          <t>Yes</t>
        </is>
      </c>
      <c r="H202">
        <f>+WEEKNUM(A202)</f>
        <v/>
      </c>
      <c r="I202">
        <f>+YEAR(A202)</f>
        <v/>
      </c>
    </row>
    <row r="203">
      <c r="A203" s="1" t="n">
        <v>45611</v>
      </c>
      <c r="B203" t="inlineStr">
        <is>
          <t>VilMat</t>
        </is>
      </c>
      <c r="C203" t="inlineStr">
        <is>
          <t>Consultant</t>
        </is>
      </c>
      <c r="D203" t="inlineStr">
        <is>
          <t>Support #75103: UAT testavimo rezultatai</t>
        </is>
      </c>
      <c r="E203" t="inlineStr">
        <is>
          <t>Testavimas Produkcinėje aplinkoje</t>
        </is>
      </c>
      <c r="F203" t="n">
        <v>0.5</v>
      </c>
      <c r="G203" t="inlineStr">
        <is>
          <t>Yes</t>
        </is>
      </c>
      <c r="H203">
        <f>+WEEKNUM(A203)</f>
        <v/>
      </c>
      <c r="I203">
        <f>+YEAR(A203)</f>
        <v/>
      </c>
    </row>
    <row r="204">
      <c r="A204" s="1" t="n">
        <v>45611</v>
      </c>
      <c r="B204" t="inlineStr">
        <is>
          <t>VilMat</t>
        </is>
      </c>
      <c r="C204" t="inlineStr">
        <is>
          <t>Consultant</t>
        </is>
      </c>
      <c r="D204" t="inlineStr">
        <is>
          <t>Support #65707: Administravimas ir darbų koordinavimas</t>
        </is>
      </c>
      <c r="E204" t="inlineStr">
        <is>
          <t>Darbų valandų susitikslinimas su Vladu</t>
        </is>
      </c>
      <c r="F204" t="n">
        <v>0.25</v>
      </c>
      <c r="G204" t="inlineStr">
        <is>
          <t>Yes</t>
        </is>
      </c>
      <c r="H204">
        <f>+WEEKNUM(A204)</f>
        <v/>
      </c>
      <c r="I204">
        <f>+YEAR(A204)</f>
        <v/>
      </c>
    </row>
    <row r="205">
      <c r="A205" s="1" t="n">
        <v>45611</v>
      </c>
      <c r="B205" t="inlineStr">
        <is>
          <t>VilMat</t>
        </is>
      </c>
      <c r="C205" t="inlineStr">
        <is>
          <t>Consultant</t>
        </is>
      </c>
      <c r="D205" t="inlineStr">
        <is>
          <t>Support #75103: UAT testavimo rezultatai</t>
        </is>
      </c>
      <c r="E205" t="inlineStr">
        <is>
          <t>Pataisymų kėlimas į test sistemą</t>
        </is>
      </c>
      <c r="F205" t="n">
        <v>0.5</v>
      </c>
      <c r="G205" t="inlineStr">
        <is>
          <t>Yes</t>
        </is>
      </c>
      <c r="H205">
        <f>+WEEKNUM(A205)</f>
        <v/>
      </c>
      <c r="I205">
        <f>+YEAR(A205)</f>
        <v/>
      </c>
    </row>
    <row r="206">
      <c r="A206" s="1" t="n">
        <v>45611</v>
      </c>
      <c r="B206" t="inlineStr">
        <is>
          <t>VilMat</t>
        </is>
      </c>
      <c r="C206" t="inlineStr">
        <is>
          <t>Consultant</t>
        </is>
      </c>
      <c r="D206" t="inlineStr">
        <is>
          <t>Support #75103: UAT testavimo rezultatai</t>
        </is>
      </c>
      <c r="E206" t="inlineStr">
        <is>
          <t>Task problemų testavimas, fixinimas, validavimas</t>
        </is>
      </c>
      <c r="F206" t="n">
        <v>3.5</v>
      </c>
      <c r="G206" t="inlineStr">
        <is>
          <t>Yes</t>
        </is>
      </c>
      <c r="H206">
        <f>+WEEKNUM(A206)</f>
        <v/>
      </c>
      <c r="I206">
        <f>+YEAR(A206)</f>
        <v/>
      </c>
    </row>
    <row r="207">
      <c r="A207" s="1" t="n">
        <v>45611</v>
      </c>
      <c r="B207" t="inlineStr">
        <is>
          <t>VilMat</t>
        </is>
      </c>
      <c r="C207" t="inlineStr">
        <is>
          <t>Consultant</t>
        </is>
      </c>
      <c r="D207" t="inlineStr">
        <is>
          <t>Support #75103: UAT testavimo rezultatai</t>
        </is>
      </c>
      <c r="E207" t="inlineStr">
        <is>
          <t>Case problemų testavimas, fixinimas, validavimas</t>
        </is>
      </c>
      <c r="F207" t="n">
        <v>3</v>
      </c>
      <c r="G207" t="inlineStr">
        <is>
          <t>Yes</t>
        </is>
      </c>
      <c r="H207">
        <f>+WEEKNUM(A207)</f>
        <v/>
      </c>
      <c r="I207">
        <f>+YEAR(A207)</f>
        <v/>
      </c>
    </row>
    <row r="208">
      <c r="A208" s="1" t="n">
        <v>45610</v>
      </c>
      <c r="B208" t="inlineStr">
        <is>
          <t>VilMat</t>
        </is>
      </c>
      <c r="C208" t="inlineStr">
        <is>
          <t>Project management</t>
        </is>
      </c>
      <c r="D208" t="inlineStr">
        <is>
          <t>Support #75103: UAT testavimo rezultatai</t>
        </is>
      </c>
      <c r="E208" t="inlineStr">
        <is>
          <t>Modifikacijų kėlimo datos derinimas su Vladu</t>
        </is>
      </c>
      <c r="F208" t="n">
        <v>0.25</v>
      </c>
      <c r="G208" t="inlineStr">
        <is>
          <t>Yes</t>
        </is>
      </c>
      <c r="H208">
        <f>+WEEKNUM(A208)</f>
        <v/>
      </c>
      <c r="I208">
        <f>+YEAR(A208)</f>
        <v/>
      </c>
    </row>
    <row r="209">
      <c r="A209" s="1" t="n">
        <v>45609</v>
      </c>
      <c r="B209" t="inlineStr">
        <is>
          <t>VilMat</t>
        </is>
      </c>
      <c r="C209" t="inlineStr">
        <is>
          <t>Consultant</t>
        </is>
      </c>
      <c r="D209" t="inlineStr">
        <is>
          <t>Support #75103: UAT testavimo rezultatai</t>
        </is>
      </c>
      <c r="E209" t="inlineStr">
        <is>
          <t>Sistemos objektų testavimas, pagal kliento pateiktus scenarijus. Task įrašai</t>
        </is>
      </c>
      <c r="F209" t="n">
        <v>1.5</v>
      </c>
      <c r="G209" t="inlineStr">
        <is>
          <t>Yes</t>
        </is>
      </c>
      <c r="H209">
        <f>+WEEKNUM(A209)</f>
        <v/>
      </c>
      <c r="I209">
        <f>+YEAR(A209)</f>
        <v/>
      </c>
    </row>
    <row r="210">
      <c r="A210" s="1" t="n">
        <v>45609</v>
      </c>
      <c r="B210" t="inlineStr">
        <is>
          <t>VilMat</t>
        </is>
      </c>
      <c r="C210" t="inlineStr">
        <is>
          <t>Consultant</t>
        </is>
      </c>
      <c r="D210" t="inlineStr">
        <is>
          <t>Support #75103: UAT testavimo rezultatai</t>
        </is>
      </c>
      <c r="E210" t="inlineStr">
        <is>
          <t>Atliktų pataisymų aptarimas ir sekančių žingsnių planavimas su Gabrieliumi</t>
        </is>
      </c>
      <c r="F210" t="n">
        <v>0.5</v>
      </c>
      <c r="G210" t="inlineStr">
        <is>
          <t>Yes</t>
        </is>
      </c>
      <c r="H210">
        <f>+WEEKNUM(A210)</f>
        <v/>
      </c>
      <c r="I210">
        <f>+YEAR(A210)</f>
        <v/>
      </c>
    </row>
    <row r="211">
      <c r="A211" s="1" t="n">
        <v>45609</v>
      </c>
      <c r="B211" t="inlineStr">
        <is>
          <t>GabKoj</t>
        </is>
      </c>
      <c r="C211" t="inlineStr">
        <is>
          <t>Developer</t>
        </is>
      </c>
      <c r="D211" t="inlineStr">
        <is>
          <t>Support #75103: UAT testavimo rezultatai</t>
        </is>
      </c>
      <c r="E211" t="inlineStr">
        <is>
          <t>atliktu pataisymu aptarimas su Vilintu</t>
        </is>
      </c>
      <c r="F211" t="n">
        <v>0.5</v>
      </c>
      <c r="G211" t="inlineStr">
        <is>
          <t>Yes</t>
        </is>
      </c>
      <c r="H211">
        <f>+WEEKNUM(A211)</f>
        <v/>
      </c>
      <c r="I211">
        <f>+YEAR(A211)</f>
        <v/>
      </c>
    </row>
    <row r="212">
      <c r="A212" s="1" t="n">
        <v>45608</v>
      </c>
      <c r="B212" t="inlineStr">
        <is>
          <t>GabKoj</t>
        </is>
      </c>
      <c r="C212" t="inlineStr">
        <is>
          <t>Developer</t>
        </is>
      </c>
      <c r="D212" t="inlineStr">
        <is>
          <t>Support #75103: UAT testavimo rezultatai</t>
        </is>
      </c>
      <c r="E212" t="inlineStr">
        <is>
          <t>flowų modifikacijos tvarkant siunčiamos datos formato</t>
        </is>
      </c>
      <c r="F212" t="n">
        <v>1.25</v>
      </c>
      <c r="G212" t="inlineStr">
        <is>
          <t>Yes</t>
        </is>
      </c>
      <c r="H212">
        <f>+WEEKNUM(A212)</f>
        <v/>
      </c>
      <c r="I212">
        <f>+YEAR(A212)</f>
        <v/>
      </c>
    </row>
    <row r="213">
      <c r="A213" s="1" t="n">
        <v>45607</v>
      </c>
      <c r="B213" t="inlineStr">
        <is>
          <t>GabKoj</t>
        </is>
      </c>
      <c r="C213" t="inlineStr">
        <is>
          <t>Developer</t>
        </is>
      </c>
      <c r="D213" t="inlineStr">
        <is>
          <t>Support #75103: UAT testavimo rezultatai</t>
        </is>
      </c>
      <c r="E213" t="inlineStr">
        <is>
          <t>Convert To Case funkcionalumo modifikacija, kad veiktų translation</t>
        </is>
      </c>
      <c r="F213" t="n">
        <v>3</v>
      </c>
      <c r="G213" t="inlineStr">
        <is>
          <t>Yes</t>
        </is>
      </c>
      <c r="H213">
        <f>+WEEKNUM(A213)</f>
        <v/>
      </c>
      <c r="I213">
        <f>+YEAR(A213)</f>
        <v/>
      </c>
    </row>
    <row r="214">
      <c r="A214" s="1" t="n">
        <v>45604</v>
      </c>
      <c r="B214" t="inlineStr">
        <is>
          <t>VilMat</t>
        </is>
      </c>
      <c r="C214" t="inlineStr">
        <is>
          <t>Consultant</t>
        </is>
      </c>
      <c r="D214" t="inlineStr">
        <is>
          <t>Support #75103: UAT testavimo rezultatai</t>
        </is>
      </c>
      <c r="E214" t="inlineStr">
        <is>
          <t>Susirašytų komentarų apsibendrinimas</t>
        </is>
      </c>
      <c r="F214" t="n">
        <v>0.5</v>
      </c>
      <c r="G214" t="inlineStr">
        <is>
          <t>Yes</t>
        </is>
      </c>
      <c r="H214">
        <f>+WEEKNUM(A214)</f>
        <v/>
      </c>
      <c r="I214">
        <f>+YEAR(A214)</f>
        <v/>
      </c>
    </row>
    <row r="215">
      <c r="A215" s="1" t="n">
        <v>45603</v>
      </c>
      <c r="B215" t="inlineStr">
        <is>
          <t>VilMat</t>
        </is>
      </c>
      <c r="C215" t="inlineStr">
        <is>
          <t>Consultant</t>
        </is>
      </c>
      <c r="D215" t="inlineStr">
        <is>
          <t>Support #75304: Teams Susitikimas su klientu - Pateiktų kliento rezultatų aptarimas, susitikslinimas</t>
        </is>
      </c>
      <c r="E215" t="inlineStr">
        <is>
          <t>Teams call su klientu - Pateiktų testavimo rezultatų exceliuose peržiūra ir detalių susitikslinimas.</t>
        </is>
      </c>
      <c r="F215" t="n">
        <v>1.5</v>
      </c>
      <c r="G215" t="inlineStr">
        <is>
          <t>Yes</t>
        </is>
      </c>
      <c r="H215">
        <f>+WEEKNUM(A215)</f>
        <v/>
      </c>
      <c r="I215">
        <f>+YEAR(A215)</f>
        <v/>
      </c>
    </row>
    <row r="216">
      <c r="A216" s="1" t="n">
        <v>45602</v>
      </c>
      <c r="B216" t="inlineStr">
        <is>
          <t>VilMat</t>
        </is>
      </c>
      <c r="C216" t="inlineStr">
        <is>
          <t>Consultant</t>
        </is>
      </c>
      <c r="D216" t="inlineStr">
        <is>
          <t>Support #75103: UAT testavimo rezultatai</t>
        </is>
      </c>
      <c r="E216" t="inlineStr">
        <is>
          <t>Darbų vertinimas valandomis reikalingiems taisymams ir testavimams atlikti pagal pateiktą excel dokumentą</t>
        </is>
      </c>
      <c r="F216" t="n">
        <v>0.75</v>
      </c>
      <c r="G216" t="inlineStr">
        <is>
          <t>Yes</t>
        </is>
      </c>
      <c r="H216">
        <f>+WEEKNUM(A216)</f>
        <v/>
      </c>
      <c r="I216">
        <f>+YEAR(A216)</f>
        <v/>
      </c>
    </row>
    <row r="217">
      <c r="A217" s="1" t="n">
        <v>45600</v>
      </c>
      <c r="B217" t="inlineStr">
        <is>
          <t>VilMat</t>
        </is>
      </c>
      <c r="C217" t="inlineStr">
        <is>
          <t>Consultant</t>
        </is>
      </c>
      <c r="D217" t="inlineStr">
        <is>
          <t>Support #75103: UAT testavimo rezultatai</t>
        </is>
      </c>
      <c r="E217" t="inlineStr">
        <is>
          <t>Peržiūrėti excelius - užfiksuotos klaidos/nesklandumai</t>
        </is>
      </c>
      <c r="F217" t="n">
        <v>0.5</v>
      </c>
      <c r="G217" t="inlineStr">
        <is>
          <t>Yes</t>
        </is>
      </c>
      <c r="H217">
        <f>+WEEKNUM(A217)</f>
        <v/>
      </c>
      <c r="I217">
        <f>+YEAR(A217)</f>
        <v/>
      </c>
    </row>
    <row r="218">
      <c r="A218" s="1" t="n">
        <v>45587</v>
      </c>
      <c r="B218" t="inlineStr">
        <is>
          <t>VilMat</t>
        </is>
      </c>
      <c r="C218" t="inlineStr">
        <is>
          <t>Consultant</t>
        </is>
      </c>
      <c r="D218" t="inlineStr">
        <is>
          <t>Support #69762: FR2-20240601-014 Techninio projektavimo dokumento paruošimas anglų kalba.</t>
        </is>
      </c>
      <c r="E218" t="inlineStr">
        <is>
          <t>Overtime - Techninio dokumento peržiūra, korekcijos</t>
        </is>
      </c>
      <c r="F218" t="n">
        <v>0.75</v>
      </c>
      <c r="G218" t="inlineStr">
        <is>
          <t>Yes</t>
        </is>
      </c>
      <c r="H218">
        <f>+WEEKNUM(A218)</f>
        <v/>
      </c>
      <c r="I218">
        <f>+YEAR(A218)</f>
        <v/>
      </c>
    </row>
    <row r="219">
      <c r="A219" s="1" t="n">
        <v>45587</v>
      </c>
      <c r="B219" t="inlineStr">
        <is>
          <t>VilMat</t>
        </is>
      </c>
      <c r="C219" t="inlineStr">
        <is>
          <t>Consultant</t>
        </is>
      </c>
      <c r="D219" t="inlineStr">
        <is>
          <t>Support #69788: FR3-240601-012 Galutinis vartotojo vadovas</t>
        </is>
      </c>
      <c r="E219" t="inlineStr">
        <is>
          <t>Overtime - Vartotojo vadovo atnaujinimas pagal naujausią logiką ir modifikacijas</t>
        </is>
      </c>
      <c r="F219" t="n">
        <v>2</v>
      </c>
      <c r="G219" t="inlineStr">
        <is>
          <t>Yes</t>
        </is>
      </c>
      <c r="H219">
        <f>+WEEKNUM(A219)</f>
        <v/>
      </c>
      <c r="I219">
        <f>+YEAR(A219)</f>
        <v/>
      </c>
    </row>
    <row r="220">
      <c r="A220" s="1" t="n">
        <v>45587</v>
      </c>
      <c r="B220" t="inlineStr">
        <is>
          <t>VilMat</t>
        </is>
      </c>
      <c r="C220" t="inlineStr">
        <is>
          <t>Consultant</t>
        </is>
      </c>
      <c r="D220" t="inlineStr">
        <is>
          <t>Support #69776: FR2-20240601-013 Galutinis vartotojo vadovas</t>
        </is>
      </c>
      <c r="E220" t="inlineStr">
        <is>
          <t>Overtime - Instrukcijų atnaujinimas</t>
        </is>
      </c>
      <c r="F220" t="n">
        <v>2</v>
      </c>
      <c r="G220" t="inlineStr">
        <is>
          <t>Yes</t>
        </is>
      </c>
      <c r="H220">
        <f>+WEEKNUM(A220)</f>
        <v/>
      </c>
      <c r="I220">
        <f>+YEAR(A220)</f>
        <v/>
      </c>
    </row>
    <row r="221">
      <c r="A221" s="1" t="n">
        <v>45587</v>
      </c>
      <c r="B221" t="inlineStr">
        <is>
          <t>VilMat</t>
        </is>
      </c>
      <c r="C221" t="inlineStr">
        <is>
          <t>Project management</t>
        </is>
      </c>
      <c r="D221" t="inlineStr">
        <is>
          <t>Feature #68573: FR2 Užklausų procesas</t>
        </is>
      </c>
      <c r="E221" t="inlineStr">
        <is>
          <t>Teams meet - Redmine užduočių statusų atnaujinimas, naujausia informacija (Pijus, Vladas, Vilintas)</t>
        </is>
      </c>
      <c r="F221" t="n">
        <v>1</v>
      </c>
      <c r="G221" t="inlineStr">
        <is>
          <t>Yes</t>
        </is>
      </c>
      <c r="H221">
        <f>+WEEKNUM(A221)</f>
        <v/>
      </c>
      <c r="I221">
        <f>+YEAR(A221)</f>
        <v/>
      </c>
    </row>
    <row r="222">
      <c r="A222" s="1" t="n">
        <v>45583</v>
      </c>
      <c r="B222" t="inlineStr">
        <is>
          <t>VilMat</t>
        </is>
      </c>
      <c r="C222" t="inlineStr">
        <is>
          <t>Consultant</t>
        </is>
      </c>
      <c r="D222" t="inlineStr">
        <is>
          <t>Feature #68573: FR2 Užklausų procesas</t>
        </is>
      </c>
      <c r="E222" t="inlineStr">
        <is>
          <t>Case status nesikeitimo priklausomai nuo BPF glitchai, koomunikacija su Egidijumi, korekcijos, testavimai</t>
        </is>
      </c>
      <c r="F222" t="n">
        <v>2.5</v>
      </c>
      <c r="G222" t="inlineStr">
        <is>
          <t>Yes</t>
        </is>
      </c>
      <c r="H222">
        <f>+WEEKNUM(A222)</f>
        <v/>
      </c>
      <c r="I222">
        <f>+YEAR(A222)</f>
        <v/>
      </c>
    </row>
    <row r="223">
      <c r="A223" s="1" t="n">
        <v>45582</v>
      </c>
      <c r="B223" t="inlineStr">
        <is>
          <t>VilMat</t>
        </is>
      </c>
      <c r="C223" t="inlineStr">
        <is>
          <t>Consultant</t>
        </is>
      </c>
      <c r="D223" t="inlineStr">
        <is>
          <t>Support #72696: FR2-20240914 - 015 Testavimas</t>
        </is>
      </c>
      <c r="E223" t="inlineStr">
        <is>
          <t>Case status nepasikeičia į teisingą, workflow peržiūros, išjungimai perjungimai, unmanaged layeriai</t>
        </is>
      </c>
      <c r="F223" t="n">
        <v>1</v>
      </c>
      <c r="G223" t="inlineStr">
        <is>
          <t>Yes</t>
        </is>
      </c>
      <c r="H223">
        <f>+WEEKNUM(A223)</f>
        <v/>
      </c>
      <c r="I223">
        <f>+YEAR(A223)</f>
        <v/>
      </c>
    </row>
    <row r="224">
      <c r="A224" s="1" t="n">
        <v>45582</v>
      </c>
      <c r="B224" t="inlineStr">
        <is>
          <t>VilMat</t>
        </is>
      </c>
      <c r="C224" t="inlineStr">
        <is>
          <t>Consultant</t>
        </is>
      </c>
      <c r="D224" t="inlineStr">
        <is>
          <t>Support #72696: FR2-20240914 - 015 Testavimas</t>
        </is>
      </c>
      <c r="E224" t="inlineStr">
        <is>
          <t>case status nepasikeičia į teisingą - solution trynimai, permigravimai, testavimai</t>
        </is>
      </c>
      <c r="F224" t="n">
        <v>4.5</v>
      </c>
      <c r="G224" t="inlineStr">
        <is>
          <t>Yes</t>
        </is>
      </c>
      <c r="H224">
        <f>+WEEKNUM(A224)</f>
        <v/>
      </c>
      <c r="I224">
        <f>+YEAR(A224)</f>
        <v/>
      </c>
    </row>
    <row r="225">
      <c r="A225" s="1" t="n">
        <v>45582</v>
      </c>
      <c r="B225" t="inlineStr">
        <is>
          <t>AliAni</t>
        </is>
      </c>
      <c r="C225" t="inlineStr">
        <is>
          <t>Developer</t>
        </is>
      </c>
      <c r="D225" t="inlineStr">
        <is>
          <t>Bug #72879: Užklausa neužsidaro, nepereina į "Išspręsta" būseną. Pastringa ties "Atsakymas klientui/ Uždarymas", kai procesas užbaigiamas. Tą eina padaryti tik per Srautas&gt;Resolve case.</t>
        </is>
      </c>
      <c r="E225" t="inlineStr">
        <is>
          <t>Aptarimas su Gabrieliumi. Workflow Test aplinkoje skiriasi kaip DEV. Aptariami padaryti pakeitimai, sprendimo analizė. Užduotis perduota Gabrieliui</t>
        </is>
      </c>
      <c r="F225" t="n">
        <v>1.25</v>
      </c>
      <c r="G225" t="inlineStr">
        <is>
          <t>No</t>
        </is>
      </c>
      <c r="H225">
        <f>+WEEKNUM(A225)</f>
        <v/>
      </c>
      <c r="I225">
        <f>+YEAR(A225)</f>
        <v/>
      </c>
    </row>
    <row r="226">
      <c r="A226" s="1" t="n">
        <v>45582</v>
      </c>
      <c r="B226" t="inlineStr">
        <is>
          <t>AliAni</t>
        </is>
      </c>
      <c r="C226" t="inlineStr">
        <is>
          <t>Developer</t>
        </is>
      </c>
      <c r="D226" t="inlineStr">
        <is>
          <t>Feature #73144: Techninio projektavimo dokumento ir galutinio vartotojo vadovo atnaujinimas pagal modifikacijas</t>
        </is>
      </c>
      <c r="E226" t="inlineStr">
        <is>
          <t>Sudėti FR3 darbai. FR2 padaryti pokyčiai</t>
        </is>
      </c>
      <c r="F226" t="n">
        <v>1.25</v>
      </c>
      <c r="G226" t="inlineStr">
        <is>
          <t>Yes</t>
        </is>
      </c>
      <c r="H226">
        <f>+WEEKNUM(A226)</f>
        <v/>
      </c>
      <c r="I226">
        <f>+YEAR(A226)</f>
        <v/>
      </c>
    </row>
    <row r="227">
      <c r="A227" s="1" t="n">
        <v>45580</v>
      </c>
      <c r="B227" t="inlineStr">
        <is>
          <t>VilMat</t>
        </is>
      </c>
      <c r="C227" t="inlineStr">
        <is>
          <t>Consultant</t>
        </is>
      </c>
      <c r="D227" t="inlineStr">
        <is>
          <t>Support #72696: FR2-20240914 - 015 Testavimas</t>
        </is>
      </c>
      <c r="E227" t="inlineStr">
        <is>
          <t>LTG vertimų tvarkymas laukeliams, korekcijos workflow'ams</t>
        </is>
      </c>
      <c r="F227" t="n">
        <v>1.5</v>
      </c>
      <c r="G227" t="inlineStr">
        <is>
          <t>Yes</t>
        </is>
      </c>
      <c r="H227">
        <f>+WEEKNUM(A227)</f>
        <v/>
      </c>
      <c r="I227">
        <f>+YEAR(A227)</f>
        <v/>
      </c>
    </row>
    <row r="228">
      <c r="A228" s="1" t="n">
        <v>45580</v>
      </c>
      <c r="B228" t="inlineStr">
        <is>
          <t>AliAni</t>
        </is>
      </c>
      <c r="C228" t="inlineStr">
        <is>
          <t>Developer</t>
        </is>
      </c>
      <c r="D228" t="inlineStr">
        <is>
          <t>Feature #73144: Techninio projektavimo dokumento ir galutinio vartotojo vadovo atnaujinimas pagal modifikacijas</t>
        </is>
      </c>
      <c r="E228" t="inlineStr">
        <is>
          <t>Dokumentacijos tvarkymas</t>
        </is>
      </c>
      <c r="F228" t="n">
        <v>1.25</v>
      </c>
      <c r="G228" t="inlineStr">
        <is>
          <t>Yes</t>
        </is>
      </c>
      <c r="H228">
        <f>+WEEKNUM(A228)</f>
        <v/>
      </c>
      <c r="I228">
        <f>+YEAR(A228)</f>
        <v/>
      </c>
    </row>
    <row r="229">
      <c r="A229" s="1" t="n">
        <v>45579</v>
      </c>
      <c r="B229" t="inlineStr">
        <is>
          <t>AliAni</t>
        </is>
      </c>
      <c r="C229" t="inlineStr">
        <is>
          <t>Developer</t>
        </is>
      </c>
      <c r="D229" t="inlineStr">
        <is>
          <t>Feature #73144: Techninio projektavimo dokumento ir galutinio vartotojo vadovo atnaujinimas pagal modifikacijas</t>
        </is>
      </c>
      <c r="E229" t="inlineStr">
        <is>
          <t>Dokumentacijos tvarkymas</t>
        </is>
      </c>
      <c r="F229" t="n">
        <v>1.5</v>
      </c>
      <c r="G229" t="inlineStr">
        <is>
          <t>Yes</t>
        </is>
      </c>
      <c r="H229">
        <f>+WEEKNUM(A229)</f>
        <v/>
      </c>
      <c r="I229">
        <f>+YEAR(A229)</f>
        <v/>
      </c>
    </row>
    <row r="230">
      <c r="A230" s="1" t="n">
        <v>45576</v>
      </c>
      <c r="B230" t="inlineStr">
        <is>
          <t>VilMat</t>
        </is>
      </c>
      <c r="C230" t="inlineStr">
        <is>
          <t>Consultant</t>
        </is>
      </c>
      <c r="D230" t="inlineStr">
        <is>
          <t>Support #68773: FR3 Užduočių funkcionalumo pakeitimai</t>
        </is>
      </c>
      <c r="E230" t="inlineStr">
        <is>
          <t>LTG laiškų šablonų atnaujinimas ir permigravimas į test aplinką, pratęstavimas</t>
        </is>
      </c>
      <c r="F230" t="n">
        <v>0.75</v>
      </c>
      <c r="G230" t="inlineStr">
        <is>
          <t>Yes</t>
        </is>
      </c>
      <c r="H230">
        <f>+WEEKNUM(A230)</f>
        <v/>
      </c>
      <c r="I230">
        <f>+YEAR(A230)</f>
        <v/>
      </c>
    </row>
    <row r="231">
      <c r="A231" s="1" t="n">
        <v>45576</v>
      </c>
      <c r="B231" t="inlineStr">
        <is>
          <t>VilMat</t>
        </is>
      </c>
      <c r="C231" t="inlineStr">
        <is>
          <t>Consultant</t>
        </is>
      </c>
      <c r="D231" t="inlineStr">
        <is>
          <t>Support #72794: FR3 Testavimo pastebėjimai</t>
        </is>
      </c>
      <c r="E231" t="inlineStr">
        <is>
          <t>LTG susitikimas - galutinis testavimas 6 - priminimų siuntimas priklausomai nuo praėjusio laiko</t>
        </is>
      </c>
      <c r="F231" t="n">
        <v>1</v>
      </c>
      <c r="G231" t="inlineStr">
        <is>
          <t>Yes</t>
        </is>
      </c>
      <c r="H231">
        <f>+WEEKNUM(A231)</f>
        <v/>
      </c>
      <c r="I231">
        <f>+YEAR(A231)</f>
        <v/>
      </c>
    </row>
    <row r="232">
      <c r="A232" s="1" t="n">
        <v>45576</v>
      </c>
      <c r="B232" t="inlineStr">
        <is>
          <t>VilMat</t>
        </is>
      </c>
      <c r="C232" t="inlineStr">
        <is>
          <t>Consultant</t>
        </is>
      </c>
      <c r="D232" t="inlineStr">
        <is>
          <t>Support #72696: FR2-20240914 - 015 Testavimas</t>
        </is>
      </c>
      <c r="E232" t="inlineStr">
        <is>
          <t>LTG susitikimas - notificaiton testavimas, case testavimas - Case Modulis</t>
        </is>
      </c>
      <c r="F232" t="n">
        <v>1.5</v>
      </c>
      <c r="G232" t="inlineStr">
        <is>
          <t>Yes</t>
        </is>
      </c>
      <c r="H232">
        <f>+WEEKNUM(A232)</f>
        <v/>
      </c>
      <c r="I232">
        <f>+YEAR(A232)</f>
        <v/>
      </c>
    </row>
    <row r="233">
      <c r="A233" s="1" t="n">
        <v>45576</v>
      </c>
      <c r="B233" t="inlineStr">
        <is>
          <t>VilMat</t>
        </is>
      </c>
      <c r="C233" t="inlineStr">
        <is>
          <t>Consultant</t>
        </is>
      </c>
      <c r="D233" t="inlineStr">
        <is>
          <t>Support #72794: FR3 Testavimo pastebėjimai</t>
        </is>
      </c>
      <c r="E233" t="inlineStr">
        <is>
          <t>Overtime - Tasks notification testavimas, flow korekcijos, siunčiami laiškai ir pranešimai(part2)</t>
        </is>
      </c>
      <c r="F233" t="n">
        <v>3</v>
      </c>
      <c r="G233" t="inlineStr">
        <is>
          <t>Yes</t>
        </is>
      </c>
      <c r="H233">
        <f>+WEEKNUM(A233)</f>
        <v/>
      </c>
      <c r="I233">
        <f>+YEAR(A233)</f>
        <v/>
      </c>
    </row>
    <row r="234">
      <c r="A234" s="1" t="n">
        <v>45576</v>
      </c>
      <c r="B234" t="inlineStr">
        <is>
          <t>VilMat</t>
        </is>
      </c>
      <c r="C234" t="inlineStr">
        <is>
          <t>Consultant</t>
        </is>
      </c>
      <c r="D234" t="inlineStr">
        <is>
          <t>Support #72794: FR3 Testavimo pastebėjimai</t>
        </is>
      </c>
      <c r="E234" t="inlineStr">
        <is>
          <t>Overtime - Atnaujinimų kėlimas į Test aplinką, testavimas</t>
        </is>
      </c>
      <c r="F234" t="n">
        <v>1</v>
      </c>
      <c r="G234" t="inlineStr">
        <is>
          <t>Yes</t>
        </is>
      </c>
      <c r="H234">
        <f>+WEEKNUM(A234)</f>
        <v/>
      </c>
      <c r="I234">
        <f>+YEAR(A234)</f>
        <v/>
      </c>
    </row>
    <row r="235">
      <c r="A235" s="1" t="n">
        <v>45575</v>
      </c>
      <c r="B235" t="inlineStr">
        <is>
          <t>GabKoj</t>
        </is>
      </c>
      <c r="C235" t="inlineStr">
        <is>
          <t>Developer</t>
        </is>
      </c>
      <c r="D235" t="inlineStr">
        <is>
          <t>Feature #68573: FR2 Užklausų procesas</t>
        </is>
      </c>
      <c r="E235" t="inlineStr">
        <is>
          <t>Case laukelių rodymas/nerodymas ir gaunamų klaidų šalinimas</t>
        </is>
      </c>
      <c r="F235" t="n">
        <v>3</v>
      </c>
      <c r="G235" t="inlineStr">
        <is>
          <t>Yes</t>
        </is>
      </c>
      <c r="H235">
        <f>+WEEKNUM(A235)</f>
        <v/>
      </c>
      <c r="I235">
        <f>+YEAR(A235)</f>
        <v/>
      </c>
    </row>
    <row r="236">
      <c r="A236" s="1" t="n">
        <v>45575</v>
      </c>
      <c r="B236" t="inlineStr">
        <is>
          <t>GabKoj</t>
        </is>
      </c>
      <c r="C236" t="inlineStr">
        <is>
          <t>Developer</t>
        </is>
      </c>
      <c r="D236" t="inlineStr">
        <is>
          <t>Support #72794: FR3 Testavimo pastebėjimai</t>
        </is>
      </c>
      <c r="E236" t="inlineStr">
        <is>
          <t>Task reminders apie besibaigiančias, pasibaigusias užduotis</t>
        </is>
      </c>
      <c r="F236" t="n">
        <v>2</v>
      </c>
      <c r="G236" t="inlineStr">
        <is>
          <t>Yes</t>
        </is>
      </c>
      <c r="H236">
        <f>+WEEKNUM(A236)</f>
        <v/>
      </c>
      <c r="I236">
        <f>+YEAR(A236)</f>
        <v/>
      </c>
    </row>
    <row r="237">
      <c r="A237" s="1" t="n">
        <v>45575</v>
      </c>
      <c r="B237" t="inlineStr">
        <is>
          <t>GabKoj</t>
        </is>
      </c>
      <c r="C237" t="inlineStr">
        <is>
          <t>Developer</t>
        </is>
      </c>
      <c r="D237" t="inlineStr">
        <is>
          <t>Support #72794: FR3 Testavimo pastebėjimai</t>
        </is>
      </c>
      <c r="E237" t="inlineStr">
        <is>
          <t>LTG - Tasks notification testavimas, flow korekcijos, siunčiami laiškai ir pranešimai</t>
        </is>
      </c>
      <c r="F237" t="n">
        <v>4</v>
      </c>
      <c r="G237" t="inlineStr">
        <is>
          <t>Yes</t>
        </is>
      </c>
      <c r="H237">
        <f>+WEEKNUM(A237)</f>
        <v/>
      </c>
      <c r="I237">
        <f>+YEAR(A237)</f>
        <v/>
      </c>
    </row>
    <row r="238">
      <c r="A238" s="1" t="n">
        <v>45575</v>
      </c>
      <c r="B238" t="inlineStr">
        <is>
          <t>GabKoj</t>
        </is>
      </c>
      <c r="C238" t="inlineStr">
        <is>
          <t>Developer</t>
        </is>
      </c>
      <c r="D238" t="inlineStr">
        <is>
          <t>Support #72794: FR3 Testavimo pastebėjimai</t>
        </is>
      </c>
      <c r="E238" t="inlineStr">
        <is>
          <t>Atnaujinimų kėlimas į Test aplinką, testavima</t>
        </is>
      </c>
      <c r="F238" t="n">
        <v>1</v>
      </c>
      <c r="G238" t="inlineStr">
        <is>
          <t>Yes</t>
        </is>
      </c>
      <c r="H238">
        <f>+WEEKNUM(A238)</f>
        <v/>
      </c>
      <c r="I238">
        <f>+YEAR(A238)</f>
        <v/>
      </c>
    </row>
    <row r="239">
      <c r="A239" s="1" t="n">
        <v>45575</v>
      </c>
      <c r="B239" t="inlineStr">
        <is>
          <t>VilMat</t>
        </is>
      </c>
      <c r="C239" t="inlineStr">
        <is>
          <t>Consultant</t>
        </is>
      </c>
      <c r="D239" t="inlineStr">
        <is>
          <t>Feature #68573: FR2 Užklausų procesas</t>
        </is>
      </c>
      <c r="E239" t="inlineStr">
        <is>
          <t>LTG testavimas ir taisymai - Case modulis</t>
        </is>
      </c>
      <c r="F239" t="n">
        <v>1.5</v>
      </c>
      <c r="G239" t="inlineStr">
        <is>
          <t>Yes</t>
        </is>
      </c>
      <c r="H239">
        <f>+WEEKNUM(A239)</f>
        <v/>
      </c>
      <c r="I239">
        <f>+YEAR(A239)</f>
        <v/>
      </c>
    </row>
    <row r="240">
      <c r="A240" s="1" t="n">
        <v>45575</v>
      </c>
      <c r="B240" t="inlineStr">
        <is>
          <t>VilMat</t>
        </is>
      </c>
      <c r="C240" t="inlineStr">
        <is>
          <t>Consultant</t>
        </is>
      </c>
      <c r="D240" t="inlineStr">
        <is>
          <t>Support #72794: FR3 Testavimo pastebėjimai</t>
        </is>
      </c>
      <c r="E240" t="inlineStr">
        <is>
          <t>LTG testavimo susitikimas - Ketvirtas testavimas</t>
        </is>
      </c>
      <c r="F240" t="n">
        <v>1.5</v>
      </c>
      <c r="G240" t="inlineStr">
        <is>
          <t>Yes</t>
        </is>
      </c>
      <c r="H240">
        <f>+WEEKNUM(A240)</f>
        <v/>
      </c>
      <c r="I240">
        <f>+YEAR(A240)</f>
        <v/>
      </c>
    </row>
    <row r="241">
      <c r="A241" s="1" t="n">
        <v>45575</v>
      </c>
      <c r="B241" t="inlineStr">
        <is>
          <t>VilMat</t>
        </is>
      </c>
      <c r="C241" t="inlineStr">
        <is>
          <t>Consultant</t>
        </is>
      </c>
      <c r="D241" t="inlineStr">
        <is>
          <t>Feature #68573: FR2 Užklausų procesas</t>
        </is>
      </c>
      <c r="E241" t="inlineStr">
        <is>
          <t>LTG - Case laukelių rodymas/nerodymas ir gaunamų klaidų šalinimas</t>
        </is>
      </c>
      <c r="F241" t="n">
        <v>4.5</v>
      </c>
      <c r="G241" t="inlineStr">
        <is>
          <t>Yes</t>
        </is>
      </c>
      <c r="H241">
        <f>+WEEKNUM(A241)</f>
        <v/>
      </c>
      <c r="I241">
        <f>+YEAR(A241)</f>
        <v/>
      </c>
    </row>
    <row r="242">
      <c r="A242" s="1" t="n">
        <v>45575</v>
      </c>
      <c r="B242" t="inlineStr">
        <is>
          <t>VilMat</t>
        </is>
      </c>
      <c r="C242" t="inlineStr">
        <is>
          <t>Consultant</t>
        </is>
      </c>
      <c r="D242" t="inlineStr">
        <is>
          <t>Support #72794: FR3 Testavimo pastebėjimai</t>
        </is>
      </c>
      <c r="E242" t="inlineStr">
        <is>
          <t>Overtime - LTG - Task reminders apie besibaigiančias, pasibaigusias užduoti</t>
        </is>
      </c>
      <c r="F242" t="n">
        <v>2</v>
      </c>
      <c r="G242" t="inlineStr">
        <is>
          <t>Yes</t>
        </is>
      </c>
      <c r="H242">
        <f>+WEEKNUM(A242)</f>
        <v/>
      </c>
      <c r="I242">
        <f>+YEAR(A242)</f>
        <v/>
      </c>
    </row>
    <row r="243">
      <c r="A243" s="1" t="n">
        <v>45575</v>
      </c>
      <c r="B243" t="inlineStr">
        <is>
          <t>VilMat</t>
        </is>
      </c>
      <c r="C243" t="inlineStr">
        <is>
          <t>Consultant</t>
        </is>
      </c>
      <c r="D243" t="inlineStr">
        <is>
          <t>Support #72794: FR3 Testavimo pastebėjimai</t>
        </is>
      </c>
      <c r="E243" t="inlineStr">
        <is>
          <t>Overtime - Tasks notification testavimas, flow korekcijos, siunčiami laiškai ir pranešimai(part1)</t>
        </is>
      </c>
      <c r="F243" t="n">
        <v>1</v>
      </c>
      <c r="G243" t="inlineStr">
        <is>
          <t>Yes</t>
        </is>
      </c>
      <c r="H243">
        <f>+WEEKNUM(A243)</f>
        <v/>
      </c>
      <c r="I243">
        <f>+YEAR(A243)</f>
        <v/>
      </c>
    </row>
    <row r="244">
      <c r="A244" s="1" t="n">
        <v>45574</v>
      </c>
      <c r="B244" t="inlineStr">
        <is>
          <t>VilMat</t>
        </is>
      </c>
      <c r="C244" t="inlineStr">
        <is>
          <t>Consultant</t>
        </is>
      </c>
      <c r="D244" t="inlineStr">
        <is>
          <t>Support #72696: FR2-20240914 - 015 Testavimas</t>
        </is>
      </c>
      <c r="E244" t="inlineStr">
        <is>
          <t>Kliento užfiksuotų bug vietų testavimas, taisymas, komunikacija su programuotojais, esamos funkcijos veikimo užtikrinimas</t>
        </is>
      </c>
      <c r="F244" t="n">
        <v>1.5</v>
      </c>
      <c r="G244" t="inlineStr">
        <is>
          <t>Yes</t>
        </is>
      </c>
      <c r="H244">
        <f>+WEEKNUM(A244)</f>
        <v/>
      </c>
      <c r="I244">
        <f>+YEAR(A244)</f>
        <v/>
      </c>
    </row>
    <row r="245">
      <c r="A245" s="1" t="n">
        <v>45574</v>
      </c>
      <c r="B245" t="inlineStr">
        <is>
          <t>VilMat</t>
        </is>
      </c>
      <c r="C245" t="inlineStr">
        <is>
          <t>Consultant</t>
        </is>
      </c>
      <c r="D245" t="inlineStr">
        <is>
          <t>Support #72794: FR3 Testavimo pastebėjimai</t>
        </is>
      </c>
      <c r="E245" t="inlineStr">
        <is>
          <t>Kliento užfiksuotų bug vietų testavimas, taisymas, komunikacija su programuotojais</t>
        </is>
      </c>
      <c r="F245" t="n">
        <v>2</v>
      </c>
      <c r="G245" t="inlineStr">
        <is>
          <t>Yes</t>
        </is>
      </c>
      <c r="H245">
        <f>+WEEKNUM(A245)</f>
        <v/>
      </c>
      <c r="I245">
        <f>+YEAR(A245)</f>
        <v/>
      </c>
    </row>
    <row r="246">
      <c r="A246" s="1" t="n">
        <v>45574</v>
      </c>
      <c r="B246" t="inlineStr">
        <is>
          <t>VilMat</t>
        </is>
      </c>
      <c r="C246" t="inlineStr">
        <is>
          <t>Consultant</t>
        </is>
      </c>
      <c r="D246" t="inlineStr">
        <is>
          <t>Support #68773: FR3 Užduočių funkcionalumo pakeitimai</t>
        </is>
      </c>
      <c r="E246" t="inlineStr">
        <is>
          <t>Susitikimas su klientu - Trečiasis funkcijų testavimas</t>
        </is>
      </c>
      <c r="F246" t="n">
        <v>1.5</v>
      </c>
      <c r="G246" t="inlineStr">
        <is>
          <t>Yes</t>
        </is>
      </c>
      <c r="H246">
        <f>+WEEKNUM(A246)</f>
        <v/>
      </c>
      <c r="I246">
        <f>+YEAR(A246)</f>
        <v/>
      </c>
    </row>
    <row r="247">
      <c r="A247" s="1" t="n">
        <v>45574</v>
      </c>
      <c r="B247" t="inlineStr">
        <is>
          <t>VilMat</t>
        </is>
      </c>
      <c r="C247" t="inlineStr">
        <is>
          <t>Consultant</t>
        </is>
      </c>
      <c r="D247" t="inlineStr">
        <is>
          <t>Support #68773: FR3 Užduočių funkcionalumo pakeitimai</t>
        </is>
      </c>
      <c r="E247" t="inlineStr">
        <is>
          <t>LTG testavimai, bug reportavimas Alinai, fiksai, pertestavimas</t>
        </is>
      </c>
      <c r="F247" t="n">
        <v>1</v>
      </c>
      <c r="G247" t="inlineStr">
        <is>
          <t>Yes</t>
        </is>
      </c>
      <c r="H247">
        <f>+WEEKNUM(A247)</f>
        <v/>
      </c>
      <c r="I247">
        <f>+YEAR(A247)</f>
        <v/>
      </c>
    </row>
    <row r="248">
      <c r="A248" s="1" t="n">
        <v>45574</v>
      </c>
      <c r="B248" t="inlineStr">
        <is>
          <t>AliAni</t>
        </is>
      </c>
      <c r="C248" t="inlineStr">
        <is>
          <t>Developer</t>
        </is>
      </c>
      <c r="D248" t="inlineStr">
        <is>
          <t>Support #72794: FR3 Testavimo pastebėjimai</t>
        </is>
      </c>
      <c r="E248" t="inlineStr">
        <is>
          <t>Tvarkyma rel-time</t>
        </is>
      </c>
      <c r="F248" t="n">
        <v>5</v>
      </c>
      <c r="G248" t="inlineStr">
        <is>
          <t>Yes</t>
        </is>
      </c>
      <c r="H248">
        <f>+WEEKNUM(A248)</f>
        <v/>
      </c>
      <c r="I248">
        <f>+YEAR(A248)</f>
        <v/>
      </c>
    </row>
    <row r="249">
      <c r="A249" s="1" t="n">
        <v>45573</v>
      </c>
      <c r="B249" t="inlineStr">
        <is>
          <t>AliAni</t>
        </is>
      </c>
      <c r="C249" t="inlineStr">
        <is>
          <t>Developer</t>
        </is>
      </c>
      <c r="D249" t="inlineStr">
        <is>
          <t>Support #72794: FR3 Testavimo pastebėjimai</t>
        </is>
      </c>
      <c r="E249" t="inlineStr">
        <is>
          <t>Flow tvarkymas, laiškų ir teams pranešimo tesktų pakeitimai, perdarytas laiko skaičiavimas flow "Case ir Task state rate". Padaryta galimubė išskaičiuoti likusį laiką valandomis. Aptarimas su Gabrieliumi darbų. Perkelimas į test aplinką. Testavimas</t>
        </is>
      </c>
      <c r="F249" t="n">
        <v>5.25</v>
      </c>
      <c r="G249" t="inlineStr">
        <is>
          <t>Yes</t>
        </is>
      </c>
      <c r="H249">
        <f>+WEEKNUM(A249)</f>
        <v/>
      </c>
      <c r="I249">
        <f>+YEAR(A249)</f>
        <v/>
      </c>
    </row>
    <row r="250">
      <c r="A250" s="1" t="n">
        <v>45573</v>
      </c>
      <c r="B250" t="inlineStr">
        <is>
          <t>VilMat</t>
        </is>
      </c>
      <c r="C250" t="inlineStr">
        <is>
          <t>Consultant</t>
        </is>
      </c>
      <c r="D250" t="inlineStr">
        <is>
          <t>Feature #68573: FR2 Užklausų procesas</t>
        </is>
      </c>
      <c r="E250" t="inlineStr">
        <is>
          <t>Aptarimas su Ugnium - darbai, likučiai</t>
        </is>
      </c>
      <c r="F250" t="n">
        <v>0.5</v>
      </c>
      <c r="G250" t="inlineStr">
        <is>
          <t>Yes</t>
        </is>
      </c>
      <c r="H250">
        <f>+WEEKNUM(A250)</f>
        <v/>
      </c>
      <c r="I250">
        <f>+YEAR(A250)</f>
        <v/>
      </c>
    </row>
    <row r="251">
      <c r="A251" s="1" t="n">
        <v>45573</v>
      </c>
      <c r="B251" t="inlineStr">
        <is>
          <t>VilMat</t>
        </is>
      </c>
      <c r="C251" t="inlineStr">
        <is>
          <t>Consultant</t>
        </is>
      </c>
      <c r="D251" t="inlineStr">
        <is>
          <t>Support #72794: FR3 Testavimo pastebėjimai</t>
        </is>
      </c>
      <c r="E251" t="inlineStr">
        <is>
          <t>Notification'ų siuntimo variantų tikslinimas programuotojams vidinio meet'o metu</t>
        </is>
      </c>
      <c r="F251" t="n">
        <v>0.5</v>
      </c>
      <c r="G251" t="inlineStr">
        <is>
          <t>Yes</t>
        </is>
      </c>
      <c r="H251">
        <f>+WEEKNUM(A251)</f>
        <v/>
      </c>
      <c r="I251">
        <f>+YEAR(A251)</f>
        <v/>
      </c>
    </row>
    <row r="252">
      <c r="A252" s="1" t="n">
        <v>45573</v>
      </c>
      <c r="B252" t="inlineStr">
        <is>
          <t>VilMat</t>
        </is>
      </c>
      <c r="C252" t="inlineStr">
        <is>
          <t>Project management</t>
        </is>
      </c>
      <c r="D252" t="inlineStr">
        <is>
          <t>Support #72794: FR3 Testavimo pastebėjimai</t>
        </is>
      </c>
      <c r="E252" t="inlineStr">
        <is>
          <t>Esamų gap'ų pašalinimo derinimas su Gabrieliumi, kokie veiksmai suplanuoti iš Alinos pusės</t>
        </is>
      </c>
      <c r="F252" t="n">
        <v>0.5</v>
      </c>
      <c r="G252" t="inlineStr">
        <is>
          <t>Yes</t>
        </is>
      </c>
      <c r="H252">
        <f>+WEEKNUM(A252)</f>
        <v/>
      </c>
      <c r="I252">
        <f>+YEAR(A252)</f>
        <v/>
      </c>
    </row>
    <row r="253">
      <c r="A253" s="1" t="n">
        <v>45572</v>
      </c>
      <c r="B253" t="inlineStr">
        <is>
          <t>AliAni</t>
        </is>
      </c>
      <c r="C253" t="inlineStr">
        <is>
          <t>Developer</t>
        </is>
      </c>
      <c r="D253" t="inlineStr">
        <is>
          <t>Support #72696: FR2-20240914 - 015 Testavimas</t>
        </is>
      </c>
      <c r="E253" t="inlineStr">
        <is>
          <t>Tvarkymas real-time per LTG pokalbį</t>
        </is>
      </c>
      <c r="F253" t="n">
        <v>2.5</v>
      </c>
      <c r="G253" t="inlineStr">
        <is>
          <t>Yes</t>
        </is>
      </c>
      <c r="H253">
        <f>+WEEKNUM(A253)</f>
        <v/>
      </c>
      <c r="I253">
        <f>+YEAR(A253)</f>
        <v/>
      </c>
    </row>
    <row r="254">
      <c r="A254" s="1" t="n">
        <v>45572</v>
      </c>
      <c r="B254" t="inlineStr">
        <is>
          <t>AliAni</t>
        </is>
      </c>
      <c r="C254" t="inlineStr">
        <is>
          <t>Developer</t>
        </is>
      </c>
      <c r="D254" t="inlineStr">
        <is>
          <t>Support #72696: FR2-20240914 - 015 Testavimas</t>
        </is>
      </c>
      <c r="E254" t="inlineStr">
        <is>
          <t>Testavimas ir tvarkymas real-time su Vilintu</t>
        </is>
      </c>
      <c r="F254" t="n">
        <v>1.75</v>
      </c>
      <c r="G254" t="inlineStr">
        <is>
          <t>Yes</t>
        </is>
      </c>
      <c r="H254">
        <f>+WEEKNUM(A254)</f>
        <v/>
      </c>
      <c r="I254">
        <f>+YEAR(A254)</f>
        <v/>
      </c>
    </row>
    <row r="255">
      <c r="A255" s="1" t="n">
        <v>45572</v>
      </c>
      <c r="B255" t="inlineStr">
        <is>
          <t>VilMat</t>
        </is>
      </c>
      <c r="C255" t="inlineStr">
        <is>
          <t>Consultant</t>
        </is>
      </c>
      <c r="D255" t="inlineStr">
        <is>
          <t>Feature #68573: FR2 Užklausų procesas</t>
        </is>
      </c>
      <c r="E255" t="inlineStr">
        <is>
          <t>Modifikacijų bug'ų testavimas test aplinkoje</t>
        </is>
      </c>
      <c r="F255" t="n">
        <v>0.75</v>
      </c>
      <c r="G255" t="inlineStr">
        <is>
          <t>Yes</t>
        </is>
      </c>
      <c r="H255">
        <f>+WEEKNUM(A255)</f>
        <v/>
      </c>
      <c r="I255">
        <f>+YEAR(A255)</f>
        <v/>
      </c>
    </row>
    <row r="256">
      <c r="A256" s="1" t="n">
        <v>45572</v>
      </c>
      <c r="B256" t="inlineStr">
        <is>
          <t>VilMat</t>
        </is>
      </c>
      <c r="C256" t="inlineStr">
        <is>
          <t>Consultant</t>
        </is>
      </c>
      <c r="D256" t="inlineStr">
        <is>
          <t>Support #72794: FR3 Testavimo pastebėjimai</t>
        </is>
      </c>
      <c r="E256" t="inlineStr">
        <is>
          <t>Modifikacijų bug'ų testavimas test aplinkoje</t>
        </is>
      </c>
      <c r="F256" t="n">
        <v>0.75</v>
      </c>
      <c r="G256" t="inlineStr">
        <is>
          <t>Yes</t>
        </is>
      </c>
      <c r="H256">
        <f>+WEEKNUM(A256)</f>
        <v/>
      </c>
      <c r="I256">
        <f>+YEAR(A256)</f>
        <v/>
      </c>
    </row>
    <row r="257">
      <c r="A257" s="1" t="n">
        <v>45572</v>
      </c>
      <c r="B257" t="inlineStr">
        <is>
          <t>VilMat</t>
        </is>
      </c>
      <c r="C257" t="inlineStr">
        <is>
          <t>Consultant</t>
        </is>
      </c>
      <c r="D257" t="inlineStr">
        <is>
          <t>Support #72794: FR3 Testavimo pastebėjimai</t>
        </is>
      </c>
      <c r="E257" t="inlineStr">
        <is>
          <t>Teams Susitikimas su klientu - Užduočių modifikacijų bug'ų testavimas ir konsultacija real-time'u</t>
        </is>
      </c>
      <c r="F257" t="n">
        <v>1.75</v>
      </c>
      <c r="G257" t="inlineStr">
        <is>
          <t>Yes</t>
        </is>
      </c>
      <c r="H257">
        <f>+WEEKNUM(A257)</f>
        <v/>
      </c>
      <c r="I257">
        <f>+YEAR(A257)</f>
        <v/>
      </c>
    </row>
    <row r="258">
      <c r="A258" s="1" t="n">
        <v>45572</v>
      </c>
      <c r="B258" t="inlineStr">
        <is>
          <t>VilMat</t>
        </is>
      </c>
      <c r="C258" t="inlineStr">
        <is>
          <t>Consultant</t>
        </is>
      </c>
      <c r="D258" t="inlineStr">
        <is>
          <t>Support #72696: FR2-20240914 - 015 Testavimas</t>
        </is>
      </c>
      <c r="E258" t="inlineStr">
        <is>
          <t>Vidinis teams meet - iškeltų probleminių vietų aptarimas, parodymas kaip pasidaryti Alinai, atviros diskusijos dėl probleminių vietų ir galimi taisymo būdai</t>
        </is>
      </c>
      <c r="F258" t="n">
        <v>1.75</v>
      </c>
      <c r="G258" t="inlineStr">
        <is>
          <t>Yes</t>
        </is>
      </c>
      <c r="H258">
        <f>+WEEKNUM(A258)</f>
        <v/>
      </c>
      <c r="I258">
        <f>+YEAR(A258)</f>
        <v/>
      </c>
    </row>
    <row r="259">
      <c r="A259" s="1" t="n">
        <v>45572</v>
      </c>
      <c r="B259" t="inlineStr">
        <is>
          <t>VilMat</t>
        </is>
      </c>
      <c r="C259" t="inlineStr">
        <is>
          <t>Consultant</t>
        </is>
      </c>
      <c r="D259" t="inlineStr">
        <is>
          <t>Support #72696: FR2-20240914 - 015 Testavimas</t>
        </is>
      </c>
      <c r="E259" t="inlineStr">
        <is>
          <t>Užklausų testavimas kartu su klientu teams susitikimo metu</t>
        </is>
      </c>
      <c r="F259" t="n">
        <v>2.25</v>
      </c>
      <c r="G259" t="inlineStr">
        <is>
          <t>Yes</t>
        </is>
      </c>
      <c r="H259">
        <f>+WEEKNUM(A259)</f>
        <v/>
      </c>
      <c r="I259">
        <f>+YEAR(A259)</f>
        <v/>
      </c>
    </row>
    <row r="260">
      <c r="A260" s="1" t="n">
        <v>45569</v>
      </c>
      <c r="B260" t="inlineStr">
        <is>
          <t>GabKoj</t>
        </is>
      </c>
      <c r="C260" t="inlineStr">
        <is>
          <t>Developer</t>
        </is>
      </c>
      <c r="D260" t="inlineStr">
        <is>
          <t>Bug #72879: Užklausa neužsidaro, nepereina į "Išspręsta" būseną. Pastringa ties "Atsakymas klientui/ Uždarymas", kai procesas užbaigiamas. Tą eina padaryti tik per Srautas&gt;Resolve case.</t>
        </is>
      </c>
      <c r="E260" t="inlineStr">
        <is>
          <t>pagalba Alinai</t>
        </is>
      </c>
      <c r="F260" t="n">
        <v>1.5</v>
      </c>
      <c r="G260" t="inlineStr">
        <is>
          <t>No</t>
        </is>
      </c>
      <c r="H260">
        <f>+WEEKNUM(A260)</f>
        <v/>
      </c>
      <c r="I260">
        <f>+YEAR(A260)</f>
        <v/>
      </c>
    </row>
    <row r="261">
      <c r="A261" s="1" t="n">
        <v>45569</v>
      </c>
      <c r="B261" t="inlineStr">
        <is>
          <t>VilMat</t>
        </is>
      </c>
      <c r="C261" t="inlineStr">
        <is>
          <t>Consultant</t>
        </is>
      </c>
      <c r="D261" t="inlineStr">
        <is>
          <t>Support #72794: FR3 Testavimo pastebėjimai</t>
        </is>
      </c>
      <c r="E261" t="inlineStr">
        <is>
          <t>Pakartotinis testavimas užduočių modulio reportintų bug'ų. (viskas fail)</t>
        </is>
      </c>
      <c r="F261" t="n">
        <v>2.5</v>
      </c>
      <c r="G261" t="inlineStr">
        <is>
          <t>Yes</t>
        </is>
      </c>
      <c r="H261">
        <f>+WEEKNUM(A261)</f>
        <v/>
      </c>
      <c r="I261">
        <f>+YEAR(A261)</f>
        <v/>
      </c>
    </row>
    <row r="262">
      <c r="A262" s="1" t="n">
        <v>45569</v>
      </c>
      <c r="B262" t="inlineStr">
        <is>
          <t>AliAni</t>
        </is>
      </c>
      <c r="C262" t="inlineStr">
        <is>
          <t>Developer</t>
        </is>
      </c>
      <c r="D262" t="inlineStr">
        <is>
          <t xml:space="preserve">Bug #72826:  Notification about task (Teams) Neturi būti galimybės vesti komentaro. </t>
        </is>
      </c>
      <c r="E262" t="inlineStr">
        <is>
          <t>Grąžintas komentaras atgal</t>
        </is>
      </c>
      <c r="F262" t="n">
        <v>0.25</v>
      </c>
      <c r="G262" t="inlineStr">
        <is>
          <t>No</t>
        </is>
      </c>
      <c r="H262">
        <f>+WEEKNUM(A262)</f>
        <v/>
      </c>
      <c r="I262">
        <f>+YEAR(A262)</f>
        <v/>
      </c>
    </row>
    <row r="263">
      <c r="A263" s="1" t="n">
        <v>45569</v>
      </c>
      <c r="B263" t="inlineStr">
        <is>
          <t>AliAni</t>
        </is>
      </c>
      <c r="C263" t="inlineStr">
        <is>
          <t>Developer</t>
        </is>
      </c>
      <c r="D263" t="inlineStr">
        <is>
          <t xml:space="preserve">Bug #72837: Notification about task (Teams) Suplanuota įvykdyti per - neina įsidėti </t>
        </is>
      </c>
      <c r="E263" t="inlineStr">
        <is>
          <t>Išversta</t>
        </is>
      </c>
      <c r="F263" t="n">
        <v>0.25</v>
      </c>
      <c r="G263" t="inlineStr">
        <is>
          <t>No</t>
        </is>
      </c>
      <c r="H263">
        <f>+WEEKNUM(A263)</f>
        <v/>
      </c>
      <c r="I263">
        <f>+YEAR(A263)</f>
        <v/>
      </c>
    </row>
    <row r="264">
      <c r="A264" s="1" t="n">
        <v>45569</v>
      </c>
      <c r="B264" t="inlineStr">
        <is>
          <t>AliAni</t>
        </is>
      </c>
      <c r="C264" t="inlineStr">
        <is>
          <t>Developer</t>
        </is>
      </c>
      <c r="D264" t="inlineStr">
        <is>
          <t>Bug #72801: (Approval (Teams)) Nepašalintas mygtukas</t>
        </is>
      </c>
      <c r="E264" t="inlineStr">
        <is>
          <t>Testavimas</t>
        </is>
      </c>
      <c r="F264" t="n">
        <v>0.5</v>
      </c>
      <c r="G264" t="inlineStr">
        <is>
          <t>No</t>
        </is>
      </c>
      <c r="H264">
        <f>+WEEKNUM(A264)</f>
        <v/>
      </c>
      <c r="I264">
        <f>+YEAR(A264)</f>
        <v/>
      </c>
    </row>
    <row r="265">
      <c r="A265" s="1" t="n">
        <v>45569</v>
      </c>
      <c r="B265" t="inlineStr">
        <is>
          <t>AliAni</t>
        </is>
      </c>
      <c r="C265" t="inlineStr">
        <is>
          <t>Developer</t>
        </is>
      </c>
      <c r="D265" t="inlineStr">
        <is>
          <t>Bug #72821: Approval (Teams) Nefiksuoja: Pasirinkus "Patvirtinti/Approve", laukelio "Patvirtinimo būsena" reikšmė įrašoma į "Atsakymas/Anwer" lauką, o "Assign back/Grąžinta atgal"  laukelio "Patvirtinimo būsena" reikšmė įrašoma į "Atsakymas/Anwer" lauką + komntaras k</t>
        </is>
      </c>
      <c r="E265" t="inlineStr">
        <is>
          <t>Testavimas</t>
        </is>
      </c>
      <c r="F265" t="n">
        <v>0.5</v>
      </c>
      <c r="G265" t="inlineStr">
        <is>
          <t>No</t>
        </is>
      </c>
      <c r="H265">
        <f>+WEEKNUM(A265)</f>
        <v/>
      </c>
      <c r="I265">
        <f>+YEAR(A265)</f>
        <v/>
      </c>
    </row>
    <row r="266">
      <c r="A266" s="1" t="n">
        <v>45569</v>
      </c>
      <c r="B266" t="inlineStr">
        <is>
          <t>AliAni</t>
        </is>
      </c>
      <c r="C266" t="inlineStr">
        <is>
          <t>Developer</t>
        </is>
      </c>
      <c r="D266" t="inlineStr">
        <is>
          <t>Bug #72833:  Notification about task (Teams)  Nefiksuoja: Pasirinkus "Patvirtinti/Approve", laukelio "Patvirtinimo būsena" reikšmė įrašoma į "Atsakymas/Anwer" lauką, o "Assign back/Grąžinta atgal"  laukelio "Patvirtinimo būsena" reikšmė įrašoma į "Atsakymas/Anwer" la</t>
        </is>
      </c>
      <c r="E266" t="inlineStr">
        <is>
          <t>Aptvarkyti tekstai. I6imti mygtukai</t>
        </is>
      </c>
      <c r="F266" t="n">
        <v>0.5</v>
      </c>
      <c r="G266" t="inlineStr">
        <is>
          <t>No</t>
        </is>
      </c>
      <c r="H266">
        <f>+WEEKNUM(A266)</f>
        <v/>
      </c>
      <c r="I266">
        <f>+YEAR(A266)</f>
        <v/>
      </c>
    </row>
    <row r="267">
      <c r="A267" s="1" t="n">
        <v>45569</v>
      </c>
      <c r="B267" t="inlineStr">
        <is>
          <t>AliAni</t>
        </is>
      </c>
      <c r="C267" t="inlineStr">
        <is>
          <t>Developer</t>
        </is>
      </c>
      <c r="D267" t="inlineStr">
        <is>
          <t>Bug #72817: Approval (Teams) Nefiksuojamas paskutinis pasikeitimas</t>
        </is>
      </c>
      <c r="E267" t="inlineStr">
        <is>
          <t>Testavimo aplinkoje sutvarkyta</t>
        </is>
      </c>
      <c r="F267" t="n">
        <v>1.5</v>
      </c>
      <c r="G267" t="inlineStr">
        <is>
          <t>No</t>
        </is>
      </c>
      <c r="H267">
        <f>+WEEKNUM(A267)</f>
        <v/>
      </c>
      <c r="I267">
        <f>+YEAR(A267)</f>
        <v/>
      </c>
    </row>
    <row r="268">
      <c r="A268" s="1" t="n">
        <v>45569</v>
      </c>
      <c r="B268" t="inlineStr">
        <is>
          <t>AliAni</t>
        </is>
      </c>
      <c r="C268" t="inlineStr">
        <is>
          <t>Developer</t>
        </is>
      </c>
      <c r="D268" t="inlineStr">
        <is>
          <t>Bug #72832:  Notification about task (Teams) Nefiksuojamas paskutinis pasikeitimas</t>
        </is>
      </c>
      <c r="E268" t="inlineStr">
        <is>
          <t>Testavimas</t>
        </is>
      </c>
      <c r="F268" t="n">
        <v>1.5</v>
      </c>
      <c r="G268" t="inlineStr">
        <is>
          <t>No</t>
        </is>
      </c>
      <c r="H268">
        <f>+WEEKNUM(A268)</f>
        <v/>
      </c>
      <c r="I268">
        <f>+YEAR(A268)</f>
        <v/>
      </c>
    </row>
    <row r="269">
      <c r="A269" s="1" t="n">
        <v>45569</v>
      </c>
      <c r="B269" t="inlineStr">
        <is>
          <t>AliAni</t>
        </is>
      </c>
      <c r="C269" t="inlineStr">
        <is>
          <t>Developer</t>
        </is>
      </c>
      <c r="D269" t="inlineStr">
        <is>
          <t>Bug #72856: Neina konvertuoti telefono skambučio į naują užklausą ir galimą klientą</t>
        </is>
      </c>
      <c r="E269" t="inlineStr">
        <is>
          <t>Tiek phonecall, tiek task uždaromas, pasikeičia statusas. Užklausa atsidaro naujam tabe. Testuota Test aplinkoje</t>
        </is>
      </c>
      <c r="F269" t="n">
        <v>0.5</v>
      </c>
      <c r="G269" t="inlineStr">
        <is>
          <t>No</t>
        </is>
      </c>
      <c r="H269">
        <f>+WEEKNUM(A269)</f>
        <v/>
      </c>
      <c r="I269">
        <f>+YEAR(A269)</f>
        <v/>
      </c>
    </row>
    <row r="270">
      <c r="A270" s="1" t="n">
        <v>45569</v>
      </c>
      <c r="B270" t="inlineStr">
        <is>
          <t>AliAni</t>
        </is>
      </c>
      <c r="C270" t="inlineStr">
        <is>
          <t>Developer</t>
        </is>
      </c>
      <c r="D270" t="inlineStr">
        <is>
          <t>Bug #72857: Pakartotino suaktyvinimo priežastis - pakartotinai suaktyvinus procesą įrašoma priežastis (matomas tik pakartotinai suaktyvinus užklausą) - nėra šio lauko ir kažkas su procesu negerai nes neina užbaigti "Išspręsta" būsena negalima. Rodo kad pakartotinai s</t>
        </is>
      </c>
      <c r="E270" t="inlineStr">
        <is>
          <t>Sutvarkyta test aplinkoje</t>
        </is>
      </c>
      <c r="F270" t="n">
        <v>1</v>
      </c>
      <c r="G270" t="inlineStr">
        <is>
          <t>No</t>
        </is>
      </c>
      <c r="H270">
        <f>+WEEKNUM(A270)</f>
        <v/>
      </c>
      <c r="I270">
        <f>+YEAR(A270)</f>
        <v/>
      </c>
    </row>
    <row r="271">
      <c r="A271" s="1" t="n">
        <v>45568</v>
      </c>
      <c r="B271" t="inlineStr">
        <is>
          <t>AliAni</t>
        </is>
      </c>
      <c r="C271" t="inlineStr">
        <is>
          <t>Developer</t>
        </is>
      </c>
      <c r="D271" t="inlineStr">
        <is>
          <t>Bug #72802: Approval (Teams) Mygtukas liekas su savo funkcija, Approval Status/Patvirtinimo būsena turi būti "Grąžinta atgal", dabar yra "Priskirtas atgal"</t>
        </is>
      </c>
      <c r="E271" t="inlineStr">
        <is>
          <t>Išėmiau pasirinkimą "Perskirti kitam"</t>
        </is>
      </c>
      <c r="F271" t="n">
        <v>0.5</v>
      </c>
      <c r="G271" t="inlineStr">
        <is>
          <t>No</t>
        </is>
      </c>
      <c r="H271">
        <f>+WEEKNUM(A271)</f>
        <v/>
      </c>
      <c r="I271">
        <f>+YEAR(A271)</f>
        <v/>
      </c>
    </row>
    <row r="272">
      <c r="A272" s="1" t="n">
        <v>45568</v>
      </c>
      <c r="B272" t="inlineStr">
        <is>
          <t>AliAni</t>
        </is>
      </c>
      <c r="C272" t="inlineStr">
        <is>
          <t>Developer</t>
        </is>
      </c>
      <c r="D272" t="inlineStr">
        <is>
          <t>Bug #72865: Visi sukurti laukai turi būti loginami</t>
        </is>
      </c>
      <c r="E272" t="inlineStr">
        <is>
          <t>Pridėjau į solutioną kelimui į Test aplinką</t>
        </is>
      </c>
      <c r="F272" t="n">
        <v>0.5</v>
      </c>
      <c r="G272" t="inlineStr">
        <is>
          <t>No</t>
        </is>
      </c>
      <c r="H272">
        <f>+WEEKNUM(A272)</f>
        <v/>
      </c>
      <c r="I272">
        <f>+YEAR(A272)</f>
        <v/>
      </c>
    </row>
    <row r="273">
      <c r="A273" s="1" t="n">
        <v>45568</v>
      </c>
      <c r="B273" t="inlineStr">
        <is>
          <t>AliAni</t>
        </is>
      </c>
      <c r="C273" t="inlineStr">
        <is>
          <t>Developer</t>
        </is>
      </c>
      <c r="D273" t="inlineStr">
        <is>
          <t>Bug #72900: Neina atšaukti užklausos. Bandant atšaukit gaunamas pranešimas "Atšauktieji atvejai". Atšaukus, keletą sekundžių atsišaukia ir aktyvinasi užklausa per naują kaip kad būtų pakartotinai atidaryta.</t>
        </is>
      </c>
      <c r="E273" t="inlineStr">
        <is>
          <t>Sutvarkiau, kad busena atitiktų aktyviam etapui</t>
        </is>
      </c>
      <c r="F273" t="n">
        <v>1</v>
      </c>
      <c r="G273" t="inlineStr">
        <is>
          <t>No</t>
        </is>
      </c>
      <c r="H273">
        <f>+WEEKNUM(A273)</f>
        <v/>
      </c>
      <c r="I273">
        <f>+YEAR(A273)</f>
        <v/>
      </c>
    </row>
    <row r="274">
      <c r="A274" s="1" t="n">
        <v>45568</v>
      </c>
      <c r="B274" t="inlineStr">
        <is>
          <t>AliAni</t>
        </is>
      </c>
      <c r="C274" t="inlineStr">
        <is>
          <t>Developer</t>
        </is>
      </c>
      <c r="D274" t="inlineStr">
        <is>
          <t>Bug #72856: Neina konvertuoti telefono skambučio į naują užklausą ir galimą klientą</t>
        </is>
      </c>
      <c r="E274" t="inlineStr">
        <is>
          <t>Aptvarkytas web resursas</t>
        </is>
      </c>
      <c r="F274" t="n">
        <v>0.5</v>
      </c>
      <c r="G274" t="inlineStr">
        <is>
          <t>No</t>
        </is>
      </c>
      <c r="H274">
        <f>+WEEKNUM(A274)</f>
        <v/>
      </c>
      <c r="I274">
        <f>+YEAR(A274)</f>
        <v/>
      </c>
    </row>
    <row r="275">
      <c r="A275" s="1" t="n">
        <v>45568</v>
      </c>
      <c r="B275" t="inlineStr">
        <is>
          <t>AliAni</t>
        </is>
      </c>
      <c r="C275" t="inlineStr">
        <is>
          <t>Developer</t>
        </is>
      </c>
      <c r="D275" t="inlineStr">
        <is>
          <t>Bug #72857: Pakartotino suaktyvinimo priežastis - pakartotinai suaktyvinus procesą įrašoma priežastis (matomas tik pakartotinai suaktyvinus užklausą) - nėra šio lauko ir kažkas su procesu negerai nes neina užbaigti "Išspręsta" būsena negalima. Rodo kad pakartotinai s</t>
        </is>
      </c>
      <c r="E275" t="inlineStr">
        <is>
          <t>Sutvarkyti workflow. Susidubliavo veiksmai</t>
        </is>
      </c>
      <c r="F275" t="n">
        <v>2</v>
      </c>
      <c r="G275" t="inlineStr">
        <is>
          <t>No</t>
        </is>
      </c>
      <c r="H275">
        <f>+WEEKNUM(A275)</f>
        <v/>
      </c>
      <c r="I275">
        <f>+YEAR(A275)</f>
        <v/>
      </c>
    </row>
    <row r="276">
      <c r="A276" s="1" t="n">
        <v>45568</v>
      </c>
      <c r="B276" t="inlineStr">
        <is>
          <t>AliAni</t>
        </is>
      </c>
      <c r="C276" t="inlineStr">
        <is>
          <t>Developer</t>
        </is>
      </c>
      <c r="D276" t="inlineStr">
        <is>
          <t>Bug #72900: Neina atšaukti užklausos. Bandant atšaukit gaunamas pranešimas "Atšauktieji atvejai". Atšaukus, keletą sekundžių atsišaukia ir aktyvinasi užklausa per naują kaip kad būtų pakartotinai atidaryta.</t>
        </is>
      </c>
      <c r="E276" t="inlineStr">
        <is>
          <t>Workflow tvarkymas. Susidubliavo veikimas</t>
        </is>
      </c>
      <c r="F276" t="n">
        <v>4</v>
      </c>
      <c r="G276" t="inlineStr">
        <is>
          <t>No</t>
        </is>
      </c>
      <c r="H276">
        <f>+WEEKNUM(A276)</f>
        <v/>
      </c>
      <c r="I276">
        <f>+YEAR(A276)</f>
        <v/>
      </c>
    </row>
    <row r="277">
      <c r="A277" s="1" t="n">
        <v>45568</v>
      </c>
      <c r="B277" t="inlineStr">
        <is>
          <t>AliAni</t>
        </is>
      </c>
      <c r="C277" t="inlineStr">
        <is>
          <t>Developer</t>
        </is>
      </c>
      <c r="D277" t="inlineStr">
        <is>
          <t>Bug #72856: Neina konvertuoti telefono skambučio į naują užklausą ir galimą klientą</t>
        </is>
      </c>
      <c r="E277" t="inlineStr">
        <is>
          <t>Update, testavimas</t>
        </is>
      </c>
      <c r="F277" t="n">
        <v>1.5</v>
      </c>
      <c r="G277" t="inlineStr">
        <is>
          <t>No</t>
        </is>
      </c>
      <c r="H277">
        <f>+WEEKNUM(A277)</f>
        <v/>
      </c>
      <c r="I277">
        <f>+YEAR(A277)</f>
        <v/>
      </c>
    </row>
    <row r="278">
      <c r="A278" s="1" t="n">
        <v>45568</v>
      </c>
      <c r="B278" t="inlineStr">
        <is>
          <t>GabKoj</t>
        </is>
      </c>
      <c r="C278" t="inlineStr">
        <is>
          <t>Developer</t>
        </is>
      </c>
      <c r="D278" t="inlineStr">
        <is>
          <t>Bug #72879: Užklausa neužsidaro, nepereina į "Išspręsta" būseną. Pastringa ties "Atsakymas klientui/ Uždarymas", kai procesas užbaigiamas. Tą eina padaryti tik per Srautas&gt;Resolve case.</t>
        </is>
      </c>
      <c r="E278" t="inlineStr">
        <is>
          <t>bug identifikacija, pagalba Alinai, feedback</t>
        </is>
      </c>
      <c r="F278" t="n">
        <v>1.25</v>
      </c>
      <c r="G278" t="inlineStr">
        <is>
          <t>No</t>
        </is>
      </c>
      <c r="H278">
        <f>+WEEKNUM(A278)</f>
        <v/>
      </c>
      <c r="I278">
        <f>+YEAR(A278)</f>
        <v/>
      </c>
    </row>
    <row r="279">
      <c r="A279" s="1" t="n">
        <v>45568</v>
      </c>
      <c r="B279" t="inlineStr">
        <is>
          <t>VilMat</t>
        </is>
      </c>
      <c r="C279" t="inlineStr">
        <is>
          <t>Consultant</t>
        </is>
      </c>
      <c r="D279" t="inlineStr">
        <is>
          <t>Support #72794: FR3 Testavimo pastebėjimai</t>
        </is>
      </c>
      <c r="E279" t="inlineStr">
        <is>
          <t>Flow siunčiančio priminimus patikrinimas kartu su Alina ir Gabrieliumi</t>
        </is>
      </c>
      <c r="F279" t="n">
        <v>0.5</v>
      </c>
      <c r="G279" t="inlineStr">
        <is>
          <t>Yes</t>
        </is>
      </c>
      <c r="H279">
        <f>+WEEKNUM(A279)</f>
        <v/>
      </c>
      <c r="I279">
        <f>+YEAR(A279)</f>
        <v/>
      </c>
    </row>
    <row r="280">
      <c r="A280" s="1" t="n">
        <v>45568</v>
      </c>
      <c r="B280" t="inlineStr">
        <is>
          <t>VilMat</t>
        </is>
      </c>
      <c r="C280" t="inlineStr">
        <is>
          <t>Consultant</t>
        </is>
      </c>
      <c r="D280" t="inlineStr">
        <is>
          <t>Support #72696: FR2-20240914 - 015 Testavimas</t>
        </is>
      </c>
      <c r="E280" t="inlineStr">
        <is>
          <t>Overtime - LTG Cases dalies bug'ų taisymo tikrinimas Test aplinkoje ir renkami komentarai, redmine užduočių atnaujinimas</t>
        </is>
      </c>
      <c r="F280" t="n">
        <v>1</v>
      </c>
      <c r="G280" t="inlineStr">
        <is>
          <t>Yes</t>
        </is>
      </c>
      <c r="H280">
        <f>+WEEKNUM(A280)</f>
        <v/>
      </c>
      <c r="I280">
        <f>+YEAR(A280)</f>
        <v/>
      </c>
    </row>
    <row r="281">
      <c r="A281" s="1" t="n">
        <v>45567</v>
      </c>
      <c r="B281" t="inlineStr">
        <is>
          <t>VilMat</t>
        </is>
      </c>
      <c r="C281" t="inlineStr">
        <is>
          <t>Consultant</t>
        </is>
      </c>
      <c r="D281" t="inlineStr">
        <is>
          <t>Support #72794: FR3 Testavimo pastebėjimai</t>
        </is>
      </c>
      <c r="E281" t="inlineStr">
        <is>
          <t xml:space="preserve">Overtime - LTG Tasks dalies bug'ų taisymo tikrinimas Test aplinkoje ir renkami komentarai, redmine užduočių atnaujinimas </t>
        </is>
      </c>
      <c r="F281" t="n">
        <v>4.5</v>
      </c>
      <c r="G281" t="inlineStr">
        <is>
          <t>Yes</t>
        </is>
      </c>
      <c r="H281">
        <f>+WEEKNUM(A281)</f>
        <v/>
      </c>
      <c r="I281">
        <f>+YEAR(A281)</f>
        <v/>
      </c>
    </row>
    <row r="282">
      <c r="A282" s="1" t="n">
        <v>45567</v>
      </c>
      <c r="B282" t="inlineStr">
        <is>
          <t>VilMat</t>
        </is>
      </c>
      <c r="C282" t="inlineStr">
        <is>
          <t>Consultant</t>
        </is>
      </c>
      <c r="D282" t="inlineStr">
        <is>
          <t>Support #72696: FR2-20240914 - 015 Testavimas</t>
        </is>
      </c>
      <c r="E282" t="inlineStr">
        <is>
          <t>Užduočių susitikslinimas per visus sub-taskus ir su Alina</t>
        </is>
      </c>
      <c r="F282" t="n">
        <v>1</v>
      </c>
      <c r="G282" t="inlineStr">
        <is>
          <t>Yes</t>
        </is>
      </c>
      <c r="H282">
        <f>+WEEKNUM(A282)</f>
        <v/>
      </c>
      <c r="I282">
        <f>+YEAR(A282)</f>
        <v/>
      </c>
    </row>
    <row r="283">
      <c r="A283" s="1" t="n">
        <v>45567</v>
      </c>
      <c r="B283" t="inlineStr">
        <is>
          <t>AliAni</t>
        </is>
      </c>
      <c r="C283" t="inlineStr">
        <is>
          <t>Developer</t>
        </is>
      </c>
      <c r="D283" t="inlineStr">
        <is>
          <t>Feature #73145: Migracija į Test, vėliau į Prod aplinką papildomų modifikacijų</t>
        </is>
      </c>
      <c r="E283" t="inlineStr">
        <is>
          <t>Migracija Case ir Translations į Test aplinką. Testavimas</t>
        </is>
      </c>
      <c r="F283" t="n">
        <v>3.5</v>
      </c>
      <c r="G283" t="inlineStr">
        <is>
          <t>Yes</t>
        </is>
      </c>
      <c r="H283">
        <f>+WEEKNUM(A283)</f>
        <v/>
      </c>
      <c r="I283">
        <f>+YEAR(A283)</f>
        <v/>
      </c>
    </row>
    <row r="284">
      <c r="A284" s="1" t="n">
        <v>45567</v>
      </c>
      <c r="B284" t="inlineStr">
        <is>
          <t>AliAni</t>
        </is>
      </c>
      <c r="C284" t="inlineStr">
        <is>
          <t>Developer</t>
        </is>
      </c>
      <c r="D284" t="inlineStr">
        <is>
          <t>Feature #72946: Sudėliojam sąlygas, kaip turėtų veikti "Pretenzijos informacija" skiltis prie kokių sąlygų turi slėptis/atsirasti laukai ir kaip veikia procesas.</t>
        </is>
      </c>
      <c r="E284" t="inlineStr">
        <is>
          <t>Pertvarkyti bussiness rules</t>
        </is>
      </c>
      <c r="F284" t="n">
        <v>0.25</v>
      </c>
      <c r="G284" t="inlineStr">
        <is>
          <t>Yes</t>
        </is>
      </c>
      <c r="H284">
        <f>+WEEKNUM(A284)</f>
        <v/>
      </c>
      <c r="I284">
        <f>+YEAR(A284)</f>
        <v/>
      </c>
    </row>
    <row r="285">
      <c r="A285" s="1" t="n">
        <v>45566</v>
      </c>
      <c r="B285" t="inlineStr">
        <is>
          <t>VilMat</t>
        </is>
      </c>
      <c r="C285" t="inlineStr">
        <is>
          <t>Consultant</t>
        </is>
      </c>
      <c r="D285" t="inlineStr">
        <is>
          <t>Bug #72817: Approval (Teams) Nefiksuojamas paskutinis pasikeitimas</t>
        </is>
      </c>
      <c r="E285" t="inlineStr">
        <is>
          <t>Pertestavimas, validavimas Test aplinkoje</t>
        </is>
      </c>
      <c r="F285" t="n">
        <v>0.25</v>
      </c>
      <c r="G285" t="inlineStr">
        <is>
          <t>No</t>
        </is>
      </c>
      <c r="H285">
        <f>+WEEKNUM(A285)</f>
        <v/>
      </c>
      <c r="I285">
        <f>+YEAR(A285)</f>
        <v/>
      </c>
    </row>
    <row r="286">
      <c r="A286" s="1" t="n">
        <v>45566</v>
      </c>
      <c r="B286" t="inlineStr">
        <is>
          <t>VilMat</t>
        </is>
      </c>
      <c r="C286" t="inlineStr">
        <is>
          <t>Consultant</t>
        </is>
      </c>
      <c r="D286" t="inlineStr">
        <is>
          <t>Bug #72801: (Approval (Teams)) Nepašalintas mygtukas</t>
        </is>
      </c>
      <c r="E286" t="inlineStr">
        <is>
          <t>Pertestavimas, validavimas Test aplinkoje</t>
        </is>
      </c>
      <c r="F286" t="n">
        <v>0.25</v>
      </c>
      <c r="G286" t="inlineStr">
        <is>
          <t>No</t>
        </is>
      </c>
      <c r="H286">
        <f>+WEEKNUM(A286)</f>
        <v/>
      </c>
      <c r="I286">
        <f>+YEAR(A286)</f>
        <v/>
      </c>
    </row>
    <row r="287">
      <c r="A287" s="1" t="n">
        <v>45566</v>
      </c>
      <c r="B287" t="inlineStr">
        <is>
          <t>VilMat</t>
        </is>
      </c>
      <c r="C287" t="inlineStr">
        <is>
          <t>Consultant</t>
        </is>
      </c>
      <c r="D287" t="inlineStr">
        <is>
          <t>Bug #72791: (Paprasta Užduotis) Sukurti laukelį "Reassigment count/Perskyrimų skaičius" užduoties lange po "Savininkas/Owner" lauku - skaičius, kuris parodo kiek kartų keitėsi savininkas</t>
        </is>
      </c>
      <c r="E287" t="inlineStr">
        <is>
          <t>Pertestavimas, validavimas Test aplinkoje</t>
        </is>
      </c>
      <c r="F287" t="n">
        <v>0.25</v>
      </c>
      <c r="G287" t="inlineStr">
        <is>
          <t>No</t>
        </is>
      </c>
      <c r="H287">
        <f>+WEEKNUM(A287)</f>
        <v/>
      </c>
      <c r="I287">
        <f>+YEAR(A287)</f>
        <v/>
      </c>
    </row>
    <row r="288">
      <c r="A288" s="1" t="n">
        <v>45566</v>
      </c>
      <c r="B288" t="inlineStr">
        <is>
          <t>VilMat</t>
        </is>
      </c>
      <c r="C288" t="inlineStr">
        <is>
          <t>Consultant</t>
        </is>
      </c>
      <c r="D288" t="inlineStr">
        <is>
          <t>Bug #72797: (Paprasta užduotis) Nesikeičia prioritetas jei nurodoma einama diena į "Aukštas". Kuriant iš veiklų (ne per greitąjį meniu "+") numatytoji reikšmė kuriasi "Aukštas" vietoje "Normalus".   Kodėl užduotis dar "Vykdomas", o "Vykdymo rezultatas" = "Atlikta lai</t>
        </is>
      </c>
      <c r="E288" t="inlineStr">
        <is>
          <t>Pertestavimas, validavimas Test aplinkoje</t>
        </is>
      </c>
      <c r="F288" t="n">
        <v>0.25</v>
      </c>
      <c r="G288" t="inlineStr">
        <is>
          <t>No</t>
        </is>
      </c>
      <c r="H288">
        <f>+WEEKNUM(A288)</f>
        <v/>
      </c>
      <c r="I288">
        <f>+YEAR(A288)</f>
        <v/>
      </c>
    </row>
    <row r="289">
      <c r="A289" s="1" t="n">
        <v>45566</v>
      </c>
      <c r="B289" t="inlineStr">
        <is>
          <t>AliAni</t>
        </is>
      </c>
      <c r="C289" t="inlineStr">
        <is>
          <t>Developer</t>
        </is>
      </c>
      <c r="D289" t="inlineStr">
        <is>
          <t>Feature #72855: Nėra LT vertimų/ jie netikslūs (baigtinis sąrašas)</t>
        </is>
      </c>
      <c r="E289" t="inlineStr">
        <is>
          <t>Testavimas. BPF žingsnių vertimai nesueina</t>
        </is>
      </c>
      <c r="F289" t="n">
        <v>0.5</v>
      </c>
      <c r="G289" t="inlineStr">
        <is>
          <t>Yes</t>
        </is>
      </c>
      <c r="H289">
        <f>+WEEKNUM(A289)</f>
        <v/>
      </c>
      <c r="I289">
        <f>+YEAR(A289)</f>
        <v/>
      </c>
    </row>
    <row r="290">
      <c r="A290" s="1" t="n">
        <v>45566</v>
      </c>
      <c r="B290" t="inlineStr">
        <is>
          <t>AliAni</t>
        </is>
      </c>
      <c r="C290" t="inlineStr">
        <is>
          <t>Developer</t>
        </is>
      </c>
      <c r="D290" t="inlineStr">
        <is>
          <t>Feature #72855: Nėra LT vertimų/ jie netikslūs (baigtinis sąrašas)</t>
        </is>
      </c>
      <c r="E290" t="inlineStr">
        <is>
          <t>Testavimas. Sukelti vertimai</t>
        </is>
      </c>
      <c r="F290" t="n">
        <v>1</v>
      </c>
      <c r="G290" t="inlineStr">
        <is>
          <t>Yes</t>
        </is>
      </c>
      <c r="H290">
        <f>+WEEKNUM(A290)</f>
        <v/>
      </c>
      <c r="I290">
        <f>+YEAR(A290)</f>
        <v/>
      </c>
    </row>
    <row r="291">
      <c r="A291" s="1" t="n">
        <v>45566</v>
      </c>
      <c r="B291" t="inlineStr">
        <is>
          <t>AliAni</t>
        </is>
      </c>
      <c r="C291" t="inlineStr">
        <is>
          <t>Developer</t>
        </is>
      </c>
      <c r="D291" t="inlineStr">
        <is>
          <t>Feature #72868: Lieka vienas pasirinkimas, tačiau pasirinkimai turi būti: El. paštu; DVS raštu; Telefonu.</t>
        </is>
      </c>
      <c r="E291" t="inlineStr">
        <is>
          <t>Pervadintas ir sukeisti vietomis. Testavimas</t>
        </is>
      </c>
      <c r="F291" t="n">
        <v>0.5</v>
      </c>
      <c r="G291" t="inlineStr">
        <is>
          <t>Yes</t>
        </is>
      </c>
      <c r="H291">
        <f>+WEEKNUM(A291)</f>
        <v/>
      </c>
      <c r="I291">
        <f>+YEAR(A291)</f>
        <v/>
      </c>
    </row>
    <row r="292">
      <c r="A292" s="1" t="n">
        <v>45566</v>
      </c>
      <c r="B292" t="inlineStr">
        <is>
          <t>AliAni</t>
        </is>
      </c>
      <c r="C292" t="inlineStr">
        <is>
          <t>Developer</t>
        </is>
      </c>
      <c r="D292" t="inlineStr">
        <is>
          <t xml:space="preserve">Feature #72864: Sukūrus užklausą, susikuria proceso žingsniai Situacijos analizė ir Atsakymas Klientui/Uždarymas, kaip buvo planuota nėra trečio/vidurinio PŽ "Kontakto Tipas", jis turėtų jau būti sukūrus užklausą. Tuomet Situacijos analizė nereiktų "Sekantis Žingsnis" o </t>
        </is>
      </c>
      <c r="E292" t="inlineStr">
        <is>
          <t>Laukas Sekantis žingsnis padarytas pagal nutylėjima "Kontakto tipas"</t>
        </is>
      </c>
      <c r="F292" t="n">
        <v>0.5</v>
      </c>
      <c r="G292" t="inlineStr">
        <is>
          <t>Yes</t>
        </is>
      </c>
      <c r="H292">
        <f>+WEEKNUM(A292)</f>
        <v/>
      </c>
      <c r="I292">
        <f>+YEAR(A292)</f>
        <v/>
      </c>
    </row>
    <row r="293">
      <c r="A293" s="1" t="n">
        <v>45566</v>
      </c>
      <c r="B293" t="inlineStr">
        <is>
          <t>AliAni</t>
        </is>
      </c>
      <c r="C293" t="inlineStr">
        <is>
          <t>Developer</t>
        </is>
      </c>
      <c r="D293" t="inlineStr">
        <is>
          <t>Feature #72936: Sudėliojam sąlygas, kaip turėtų veikti "Pretenzijos informacija" skiltis prie kokių sąlygų turi slėptis/atsirasti laukai ir kaip veikia procesas.</t>
        </is>
      </c>
      <c r="F293" t="n">
        <v>0.5</v>
      </c>
      <c r="G293" t="inlineStr">
        <is>
          <t>Yes</t>
        </is>
      </c>
      <c r="H293">
        <f>+WEEKNUM(A293)</f>
        <v/>
      </c>
      <c r="I293">
        <f>+YEAR(A293)</f>
        <v/>
      </c>
    </row>
    <row r="294">
      <c r="A294" s="1" t="n">
        <v>45566</v>
      </c>
      <c r="B294" t="inlineStr">
        <is>
          <t>AliAni</t>
        </is>
      </c>
      <c r="C294" t="inlineStr">
        <is>
          <t>Developer</t>
        </is>
      </c>
      <c r="D294" t="inlineStr">
        <is>
          <t>Feature #72939: Sudėliojam sąlygas, kaip turėtų veikti "Pretenzijos informacija" skiltis prie kokių sąlygų turi slėptis/atsirasti laukai ir kaip veikia procesas.</t>
        </is>
      </c>
      <c r="F294" t="n">
        <v>0.5</v>
      </c>
      <c r="G294" t="inlineStr">
        <is>
          <t>Yes</t>
        </is>
      </c>
      <c r="H294">
        <f>+WEEKNUM(A294)</f>
        <v/>
      </c>
      <c r="I294">
        <f>+YEAR(A294)</f>
        <v/>
      </c>
    </row>
    <row r="295">
      <c r="A295" s="1" t="n">
        <v>45566</v>
      </c>
      <c r="B295" t="inlineStr">
        <is>
          <t>AliAni</t>
        </is>
      </c>
      <c r="C295" t="inlineStr">
        <is>
          <t>Developer</t>
        </is>
      </c>
      <c r="D295" t="inlineStr">
        <is>
          <t>Feature #72941: Sudėliojam sąlygas, kaip turėtų veikti "Pretenzijos informacija" skiltis prie kokių sąlygų turi slėptis/atsirasti laukai ir kaip veikia procesas.</t>
        </is>
      </c>
      <c r="E295" t="inlineStr">
        <is>
          <t>Pertvarkyta formą. sudėliot bussiness rules. Vertimai</t>
        </is>
      </c>
      <c r="F295" t="n">
        <v>1</v>
      </c>
      <c r="G295" t="inlineStr">
        <is>
          <t>Yes</t>
        </is>
      </c>
      <c r="H295">
        <f>+WEEKNUM(A295)</f>
        <v/>
      </c>
      <c r="I295">
        <f>+YEAR(A295)</f>
        <v/>
      </c>
    </row>
    <row r="296">
      <c r="A296" s="1" t="n">
        <v>45566</v>
      </c>
      <c r="B296" t="inlineStr">
        <is>
          <t>AliAni</t>
        </is>
      </c>
      <c r="C296" t="inlineStr">
        <is>
          <t>Developer</t>
        </is>
      </c>
      <c r="D296" t="inlineStr">
        <is>
          <t>Feature #72946: Sudėliojam sąlygas, kaip turėtų veikti "Pretenzijos informacija" skiltis prie kokių sąlygų turi slėptis/atsirasti laukai ir kaip veikia procesas.</t>
        </is>
      </c>
      <c r="E296" t="inlineStr">
        <is>
          <t>Pertvarkyti bussiness rules. Sutvarkytas Workflow</t>
        </is>
      </c>
      <c r="F296" t="n">
        <v>1</v>
      </c>
      <c r="G296" t="inlineStr">
        <is>
          <t>Yes</t>
        </is>
      </c>
      <c r="H296">
        <f>+WEEKNUM(A296)</f>
        <v/>
      </c>
      <c r="I296">
        <f>+YEAR(A296)</f>
        <v/>
      </c>
    </row>
    <row r="297">
      <c r="A297" s="1" t="n">
        <v>45566</v>
      </c>
      <c r="B297" t="inlineStr">
        <is>
          <t>AliAni</t>
        </is>
      </c>
      <c r="C297" t="inlineStr">
        <is>
          <t>Developer</t>
        </is>
      </c>
      <c r="D297" t="inlineStr">
        <is>
          <t>Feature #72939: Sudėliojam sąlygas, kaip turėtų veikti "Pretenzijos informacija" skiltis prie kokių sąlygų turi slėptis/atsirasti laukai ir kaip veikia procesas.</t>
        </is>
      </c>
      <c r="E297" t="inlineStr">
        <is>
          <t>Pertvarkyti laukai</t>
        </is>
      </c>
      <c r="F297" t="n">
        <v>0.5</v>
      </c>
      <c r="G297" t="inlineStr">
        <is>
          <t>Yes</t>
        </is>
      </c>
      <c r="H297">
        <f>+WEEKNUM(A297)</f>
        <v/>
      </c>
      <c r="I297">
        <f>+YEAR(A297)</f>
        <v/>
      </c>
    </row>
    <row r="298">
      <c r="A298" s="1" t="n">
        <v>45565</v>
      </c>
      <c r="B298" t="inlineStr">
        <is>
          <t>AliAni</t>
        </is>
      </c>
      <c r="C298" t="inlineStr">
        <is>
          <t>Developer</t>
        </is>
      </c>
      <c r="D298" t="inlineStr">
        <is>
          <t>Feature #72930: "Pretenzijos atšaukimo priežastis" pervadinti į "Pretenzijos nepagrįstumo priežastis" ir padaryti privalomu</t>
        </is>
      </c>
      <c r="E298" t="inlineStr">
        <is>
          <t>Kai case yra nauja, slėpti Claim laukus. Pertvarkytas Work flow</t>
        </is>
      </c>
      <c r="F298" t="n">
        <v>0.25</v>
      </c>
      <c r="G298" t="inlineStr">
        <is>
          <t>Yes</t>
        </is>
      </c>
      <c r="H298">
        <f>+WEEKNUM(A298)</f>
        <v/>
      </c>
      <c r="I298">
        <f>+YEAR(A298)</f>
        <v/>
      </c>
    </row>
    <row r="299">
      <c r="A299" s="1" t="n">
        <v>45565</v>
      </c>
      <c r="B299" t="inlineStr">
        <is>
          <t>AliAni</t>
        </is>
      </c>
      <c r="C299" t="inlineStr">
        <is>
          <t>Developer</t>
        </is>
      </c>
      <c r="D299" t="inlineStr">
        <is>
          <t>Support #72794: FR3 Testavimo pastebėjimai</t>
        </is>
      </c>
      <c r="E299" t="inlineStr">
        <is>
          <t>Sutvarkytas flow  Task - Send Notifications about Tasks term run out ir PSD Totals calculation</t>
        </is>
      </c>
      <c r="F299" t="n">
        <v>0.5</v>
      </c>
      <c r="G299" t="inlineStr">
        <is>
          <t>Yes</t>
        </is>
      </c>
      <c r="H299">
        <f>+WEEKNUM(A299)</f>
        <v/>
      </c>
      <c r="I299">
        <f>+YEAR(A299)</f>
        <v/>
      </c>
    </row>
    <row r="300">
      <c r="A300" s="1" t="n">
        <v>45565</v>
      </c>
      <c r="B300" t="inlineStr">
        <is>
          <t>AliAni</t>
        </is>
      </c>
      <c r="C300" t="inlineStr">
        <is>
          <t>Developer</t>
        </is>
      </c>
      <c r="D300" t="inlineStr">
        <is>
          <t>Feature #72930: "Pretenzijos atšaukimo priežastis" pervadinti į "Pretenzijos nepagrįstumo priežastis" ir padaryti privalomu</t>
        </is>
      </c>
      <c r="E300" t="inlineStr">
        <is>
          <t>Pervadintas</t>
        </is>
      </c>
      <c r="F300" t="n">
        <v>0.25</v>
      </c>
      <c r="G300" t="inlineStr">
        <is>
          <t>Yes</t>
        </is>
      </c>
      <c r="H300">
        <f>+WEEKNUM(A300)</f>
        <v/>
      </c>
      <c r="I300">
        <f>+YEAR(A300)</f>
        <v/>
      </c>
    </row>
    <row r="301">
      <c r="A301" s="1" t="n">
        <v>45565</v>
      </c>
      <c r="B301" t="inlineStr">
        <is>
          <t>AliAni</t>
        </is>
      </c>
      <c r="C301" t="inlineStr">
        <is>
          <t>Developer</t>
        </is>
      </c>
      <c r="D301" t="inlineStr">
        <is>
          <t>Feature #72925: "Sprendimo tvirtintojas" pervadinti į "Kompensacijos tvirtintojas" ir padaryti privalomu</t>
        </is>
      </c>
      <c r="E301" t="inlineStr">
        <is>
          <t>Padarytas laukas privalomu</t>
        </is>
      </c>
      <c r="F301" t="n">
        <v>0.25</v>
      </c>
      <c r="G301" t="inlineStr">
        <is>
          <t>Yes</t>
        </is>
      </c>
      <c r="H301">
        <f>+WEEKNUM(A301)</f>
        <v/>
      </c>
      <c r="I301">
        <f>+YEAR(A301)</f>
        <v/>
      </c>
    </row>
    <row r="302">
      <c r="A302" s="1" t="n">
        <v>45565</v>
      </c>
      <c r="B302" t="inlineStr">
        <is>
          <t>AliAni</t>
        </is>
      </c>
      <c r="C302" t="inlineStr">
        <is>
          <t>Developer</t>
        </is>
      </c>
      <c r="D302" t="inlineStr">
        <is>
          <t>Feature #72919: "Apskaičiuota kompensacija" padaryti privalomu</t>
        </is>
      </c>
      <c r="E302" t="inlineStr">
        <is>
          <t>Padarytas laukas privalomu</t>
        </is>
      </c>
      <c r="F302" t="n">
        <v>0.25</v>
      </c>
      <c r="G302" t="inlineStr">
        <is>
          <t>Yes</t>
        </is>
      </c>
      <c r="H302">
        <f>+WEEKNUM(A302)</f>
        <v/>
      </c>
      <c r="I302">
        <f>+YEAR(A302)</f>
        <v/>
      </c>
    </row>
    <row r="303">
      <c r="A303" s="1" t="n">
        <v>45565</v>
      </c>
      <c r="B303" t="inlineStr">
        <is>
          <t>AliAni</t>
        </is>
      </c>
      <c r="C303" t="inlineStr">
        <is>
          <t>Developer</t>
        </is>
      </c>
      <c r="D303" t="inlineStr">
        <is>
          <t>Feature #72855: Nėra LT vertimų/ jie netikslūs (baigtinis sąrašas)</t>
        </is>
      </c>
      <c r="E303" t="inlineStr">
        <is>
          <t>Vertimai. Dar bus surasti kaip pervadinti BPF</t>
        </is>
      </c>
      <c r="F303" t="n">
        <v>1.5</v>
      </c>
      <c r="G303" t="inlineStr">
        <is>
          <t>Yes</t>
        </is>
      </c>
      <c r="H303">
        <f>+WEEKNUM(A303)</f>
        <v/>
      </c>
      <c r="I303">
        <f>+YEAR(A303)</f>
        <v/>
      </c>
    </row>
    <row r="304">
      <c r="A304" s="1" t="n">
        <v>45565</v>
      </c>
      <c r="B304" t="inlineStr">
        <is>
          <t>AliAni</t>
        </is>
      </c>
      <c r="C304" t="inlineStr">
        <is>
          <t>Developer</t>
        </is>
      </c>
      <c r="D304" t="inlineStr">
        <is>
          <t>Feature #72909: Mūsų prašymas: pakeisti pavadinimą "Ar padaryta žala?" į "Padaryta žala"</t>
        </is>
      </c>
      <c r="E304" t="inlineStr">
        <is>
          <t>Pervadinta</t>
        </is>
      </c>
      <c r="F304" t="n">
        <v>0.25</v>
      </c>
      <c r="G304" t="inlineStr">
        <is>
          <t>Yes</t>
        </is>
      </c>
      <c r="H304">
        <f>+WEEKNUM(A304)</f>
        <v/>
      </c>
      <c r="I304">
        <f>+YEAR(A304)</f>
        <v/>
      </c>
    </row>
    <row r="305">
      <c r="A305" s="1" t="n">
        <v>45565</v>
      </c>
      <c r="B305" t="inlineStr">
        <is>
          <t>AliAni</t>
        </is>
      </c>
      <c r="C305" t="inlineStr">
        <is>
          <t>Developer</t>
        </is>
      </c>
      <c r="D305" t="inlineStr">
        <is>
          <t>Feature #72906: "Ar padaryta žala" pasirinkimą "Žmogui" pervadinti į "Žmogui / Gamtai"</t>
        </is>
      </c>
      <c r="E305" t="inlineStr">
        <is>
          <t>Pervadinta</t>
        </is>
      </c>
      <c r="F305" t="n">
        <v>0.25</v>
      </c>
      <c r="G305" t="inlineStr">
        <is>
          <t>Yes</t>
        </is>
      </c>
      <c r="H305">
        <f>+WEEKNUM(A305)</f>
        <v/>
      </c>
      <c r="I305">
        <f>+YEAR(A305)</f>
        <v/>
      </c>
    </row>
    <row r="306">
      <c r="A306" s="1" t="n">
        <v>45565</v>
      </c>
      <c r="B306" t="inlineStr">
        <is>
          <t>AliAni</t>
        </is>
      </c>
      <c r="C306" t="inlineStr">
        <is>
          <t>Developer</t>
        </is>
      </c>
      <c r="D306" t="inlineStr">
        <is>
          <t xml:space="preserve">Feature #72890: "Reikalingas papildomas žingsnis" lauką padaryti su numatytąją reikšmę "Ne". </t>
        </is>
      </c>
      <c r="E306" t="inlineStr">
        <is>
          <t>Pakeisti WorkFlow'ai</t>
        </is>
      </c>
      <c r="F306" t="n">
        <v>1</v>
      </c>
      <c r="G306" t="inlineStr">
        <is>
          <t>Yes</t>
        </is>
      </c>
      <c r="H306">
        <f>+WEEKNUM(A306)</f>
        <v/>
      </c>
      <c r="I306">
        <f>+YEAR(A306)</f>
        <v/>
      </c>
    </row>
    <row r="307">
      <c r="A307" s="1" t="n">
        <v>45565</v>
      </c>
      <c r="B307" t="inlineStr">
        <is>
          <t>AliAni</t>
        </is>
      </c>
      <c r="C307" t="inlineStr">
        <is>
          <t>Developer</t>
        </is>
      </c>
      <c r="D307" t="inlineStr">
        <is>
          <t xml:space="preserve">Feature #72890: "Reikalingas papildomas žingsnis" lauką padaryti su numatytąją reikšmę "Ne". </t>
        </is>
      </c>
      <c r="E307" t="inlineStr">
        <is>
          <t>Lauko default reikšmė "Ne"</t>
        </is>
      </c>
      <c r="F307" t="n">
        <v>0.25</v>
      </c>
      <c r="G307" t="inlineStr">
        <is>
          <t>Yes</t>
        </is>
      </c>
      <c r="H307">
        <f>+WEEKNUM(A307)</f>
        <v/>
      </c>
      <c r="I307">
        <f>+YEAR(A307)</f>
        <v/>
      </c>
    </row>
    <row r="308">
      <c r="A308" s="1" t="n">
        <v>45565</v>
      </c>
      <c r="B308" t="inlineStr">
        <is>
          <t>AliAni</t>
        </is>
      </c>
      <c r="C308" t="inlineStr">
        <is>
          <t>Developer</t>
        </is>
      </c>
      <c r="D308" t="inlineStr">
        <is>
          <t>Feature #72914: "Ar dalyvauja suinteresuotos šalys" padaryti privalomu</t>
        </is>
      </c>
      <c r="E308" t="inlineStr">
        <is>
          <t>Padarytas laukas privalomu</t>
        </is>
      </c>
      <c r="F308" t="n">
        <v>0.25</v>
      </c>
      <c r="G308" t="inlineStr">
        <is>
          <t>Yes</t>
        </is>
      </c>
      <c r="H308">
        <f>+WEEKNUM(A308)</f>
        <v/>
      </c>
      <c r="I308">
        <f>+YEAR(A308)</f>
        <v/>
      </c>
    </row>
    <row r="309">
      <c r="A309" s="1" t="n">
        <v>45565</v>
      </c>
      <c r="B309" t="inlineStr">
        <is>
          <t>AliAni</t>
        </is>
      </c>
      <c r="C309" t="inlineStr">
        <is>
          <t>Developer</t>
        </is>
      </c>
      <c r="D309" t="inlineStr">
        <is>
          <t>Feature #72915: "Pretenzija pagrįsta" lauko tipą/mygtuką pakeisti į iškrentantį "--Pasirinkti--/Taip/Ne"</t>
        </is>
      </c>
      <c r="F309" t="n">
        <v>0.25</v>
      </c>
      <c r="G309" t="inlineStr">
        <is>
          <t>Yes</t>
        </is>
      </c>
      <c r="H309">
        <f>+WEEKNUM(A309)</f>
        <v/>
      </c>
      <c r="I309">
        <f>+YEAR(A309)</f>
        <v/>
      </c>
    </row>
    <row r="310">
      <c r="A310" s="1" t="n">
        <v>45565</v>
      </c>
      <c r="B310" t="inlineStr">
        <is>
          <t>AliAni</t>
        </is>
      </c>
      <c r="C310" t="inlineStr">
        <is>
          <t>Developer</t>
        </is>
      </c>
      <c r="D310" t="inlineStr">
        <is>
          <t>Support #72794: FR3 Testavimo pastebėjimai</t>
        </is>
      </c>
      <c r="E310" t="inlineStr">
        <is>
          <t>Task modulio migravimas. Aptvarkytas ribbon "Convert to case" mygtukas. Buvo susidubliavęs. Teko instaliuoti ribbon workbench Testinėje aplinkoje.</t>
        </is>
      </c>
      <c r="F310" t="n">
        <v>3.25</v>
      </c>
      <c r="G310" t="inlineStr">
        <is>
          <t>Yes</t>
        </is>
      </c>
      <c r="H310">
        <f>+WEEKNUM(A310)</f>
        <v/>
      </c>
      <c r="I310">
        <f>+YEAR(A310)</f>
        <v/>
      </c>
    </row>
    <row r="311">
      <c r="A311" s="1" t="n">
        <v>45563</v>
      </c>
      <c r="B311" t="inlineStr">
        <is>
          <t>AliAni</t>
        </is>
      </c>
      <c r="C311" t="inlineStr">
        <is>
          <t>Developer</t>
        </is>
      </c>
      <c r="D311" t="inlineStr">
        <is>
          <t>Bug #72811: Approval (Teams) Jei užduoties "Veiklos būsena" = "Vykdoma" visi pranešimai eina "Savininkas" nurodytam asmeniui, nes gali būti pavaduojantis, perskirtas it t.t. * Kūrėjui užduoties "Sukūrė", turi ateiti tik užduoties įvykdymo pranešimas kai "Veiklos bū</t>
        </is>
      </c>
      <c r="E311" t="inlineStr">
        <is>
          <t>Testavimas</t>
        </is>
      </c>
      <c r="F311" t="n">
        <v>0.25</v>
      </c>
      <c r="G311" t="inlineStr">
        <is>
          <t>No</t>
        </is>
      </c>
      <c r="H311">
        <f>+WEEKNUM(A311)</f>
        <v/>
      </c>
      <c r="I311">
        <f>+YEAR(A311)</f>
        <v/>
      </c>
    </row>
    <row r="312">
      <c r="A312" s="1" t="n">
        <v>45563</v>
      </c>
      <c r="B312" t="inlineStr">
        <is>
          <t>AliAni</t>
        </is>
      </c>
      <c r="C312" t="inlineStr">
        <is>
          <t>Developer</t>
        </is>
      </c>
      <c r="D312" t="inlineStr">
        <is>
          <t>Bug #72830:  Notification about task (Teams) * Jei užduoties "Veiklos būsena" = "Vykdoma" visi pranešimai eina "Savininkas" nurodytam asmeniui, nes gali būti pavaduojantis, perskirtas it t.t. * Kūrėjui užduoties "Sukūrė", turi ateiti tik užduoties įvykdymo pranešimas</t>
        </is>
      </c>
      <c r="E312" t="inlineStr">
        <is>
          <t>Testavimas</t>
        </is>
      </c>
      <c r="F312" t="n">
        <v>0.25</v>
      </c>
      <c r="G312" t="inlineStr">
        <is>
          <t>No</t>
        </is>
      </c>
      <c r="H312">
        <f>+WEEKNUM(A312)</f>
        <v/>
      </c>
      <c r="I312">
        <f>+YEAR(A312)</f>
        <v/>
      </c>
    </row>
    <row r="313">
      <c r="A313" s="1" t="n">
        <v>45563</v>
      </c>
      <c r="B313" t="inlineStr">
        <is>
          <t>AliAni</t>
        </is>
      </c>
      <c r="C313" t="inlineStr">
        <is>
          <t>Developer</t>
        </is>
      </c>
      <c r="D313" t="inlineStr">
        <is>
          <t>Bug #72833:  Notification about task (Teams)  Nefiksuoja: Pasirinkus "Patvirtinti/Approve", laukelio "Patvirtinimo būsena" reikšmė įrašoma į "Atsakymas/Anwer" lauką, o "Assign back/Grąžinta atgal"  laukelio "Patvirtinimo būsena" reikšmė įrašoma į "Atsakymas/Anwer" la</t>
        </is>
      </c>
      <c r="E313" t="inlineStr">
        <is>
          <t>Testavimas</t>
        </is>
      </c>
      <c r="F313" t="n">
        <v>0.25</v>
      </c>
      <c r="G313" t="inlineStr">
        <is>
          <t>No</t>
        </is>
      </c>
      <c r="H313">
        <f>+WEEKNUM(A313)</f>
        <v/>
      </c>
      <c r="I313">
        <f>+YEAR(A313)</f>
        <v/>
      </c>
    </row>
    <row r="314">
      <c r="A314" s="1" t="n">
        <v>45563</v>
      </c>
      <c r="B314" t="inlineStr">
        <is>
          <t>AliAni</t>
        </is>
      </c>
      <c r="C314" t="inlineStr">
        <is>
          <t>Developer</t>
        </is>
      </c>
      <c r="D314" t="inlineStr">
        <is>
          <t>Bug #72835:  Notification about task (Teams) Nesikeičia prioritetas jei nurodoma einama diena į "Aukštas". Kuriant iš veiklų (ne per greitąjį meniu "+") numatytoji reikšmė kuriasi "Aukštas" vietoje "Normalus".   Kodėl užduotis dar "Vykdomas", o "Vykdymo rezultatas" =</t>
        </is>
      </c>
      <c r="E314" t="inlineStr">
        <is>
          <t>Testavimas</t>
        </is>
      </c>
      <c r="F314" t="n">
        <v>0.25</v>
      </c>
      <c r="G314" t="inlineStr">
        <is>
          <t>No</t>
        </is>
      </c>
      <c r="H314">
        <f>+WEEKNUM(A314)</f>
        <v/>
      </c>
      <c r="I314">
        <f>+YEAR(A314)</f>
        <v/>
      </c>
    </row>
    <row r="315">
      <c r="A315" s="1" t="n">
        <v>45563</v>
      </c>
      <c r="B315" t="inlineStr">
        <is>
          <t>AliAni</t>
        </is>
      </c>
      <c r="C315" t="inlineStr">
        <is>
          <t>Developer</t>
        </is>
      </c>
      <c r="D315" t="inlineStr">
        <is>
          <t>Bug #72817: Approval (Teams) Nefiksuojamas paskutinis pasikeitimas</t>
        </is>
      </c>
      <c r="E315" t="inlineStr">
        <is>
          <t>Testavimas</t>
        </is>
      </c>
      <c r="F315" t="n">
        <v>0.25</v>
      </c>
      <c r="G315" t="inlineStr">
        <is>
          <t>No</t>
        </is>
      </c>
      <c r="H315">
        <f>+WEEKNUM(A315)</f>
        <v/>
      </c>
      <c r="I315">
        <f>+YEAR(A315)</f>
        <v/>
      </c>
    </row>
    <row r="316">
      <c r="A316" s="1" t="n">
        <v>45563</v>
      </c>
      <c r="B316" t="inlineStr">
        <is>
          <t>AliAni</t>
        </is>
      </c>
      <c r="C316" t="inlineStr">
        <is>
          <t>Developer</t>
        </is>
      </c>
      <c r="D316" t="inlineStr">
        <is>
          <t>Bug #72832:  Notification about task (Teams) Nefiksuojamas paskutinis pasikeitimas</t>
        </is>
      </c>
      <c r="E316" t="inlineStr">
        <is>
          <t>Testavimas</t>
        </is>
      </c>
      <c r="F316" t="n">
        <v>0.25</v>
      </c>
      <c r="G316" t="inlineStr">
        <is>
          <t>No</t>
        </is>
      </c>
      <c r="H316">
        <f>+WEEKNUM(A316)</f>
        <v/>
      </c>
      <c r="I316">
        <f>+YEAR(A316)</f>
        <v/>
      </c>
    </row>
    <row r="317">
      <c r="A317" s="1" t="n">
        <v>45562</v>
      </c>
      <c r="B317" t="inlineStr">
        <is>
          <t>AliAni</t>
        </is>
      </c>
      <c r="C317" t="inlineStr">
        <is>
          <t>Developer</t>
        </is>
      </c>
      <c r="D317" t="inlineStr">
        <is>
          <t>Support #72794: FR3 Testavimo pastebėjimai</t>
        </is>
      </c>
      <c r="E317" t="inlineStr">
        <is>
          <t>Testavimas, tvarkymas pagal Excel bylos užrašus</t>
        </is>
      </c>
      <c r="F317" t="n">
        <v>1.5</v>
      </c>
      <c r="G317" t="inlineStr">
        <is>
          <t>Yes</t>
        </is>
      </c>
      <c r="H317">
        <f>+WEEKNUM(A317)</f>
        <v/>
      </c>
      <c r="I317">
        <f>+YEAR(A317)</f>
        <v/>
      </c>
    </row>
    <row r="318">
      <c r="A318" s="1" t="n">
        <v>45562</v>
      </c>
      <c r="B318" t="inlineStr">
        <is>
          <t>VilMat</t>
        </is>
      </c>
      <c r="C318" t="inlineStr">
        <is>
          <t>Consultant</t>
        </is>
      </c>
      <c r="D318" t="inlineStr">
        <is>
          <t>Support #72696: FR2-20240914 - 015 Testavimas</t>
        </is>
      </c>
      <c r="E318" t="inlineStr">
        <is>
          <t>Neužsikeliantys komponentai su solution užkėlimu į test</t>
        </is>
      </c>
      <c r="F318" t="n">
        <v>0.25</v>
      </c>
      <c r="G318" t="inlineStr">
        <is>
          <t>Yes</t>
        </is>
      </c>
      <c r="H318">
        <f>+WEEKNUM(A318)</f>
        <v/>
      </c>
      <c r="I318">
        <f>+YEAR(A318)</f>
        <v/>
      </c>
    </row>
    <row r="319">
      <c r="A319" s="1" t="n">
        <v>45562</v>
      </c>
      <c r="B319" t="inlineStr">
        <is>
          <t>VilMat</t>
        </is>
      </c>
      <c r="C319" t="inlineStr">
        <is>
          <t>Consultant</t>
        </is>
      </c>
      <c r="D319" t="inlineStr">
        <is>
          <t>Support #72696: FR2-20240914 - 015 Testavimas</t>
        </is>
      </c>
      <c r="E319" t="inlineStr">
        <is>
          <t>Užduočių perdavimas Alinai</t>
        </is>
      </c>
      <c r="F319" t="n">
        <v>0.75</v>
      </c>
      <c r="G319" t="inlineStr">
        <is>
          <t>Yes</t>
        </is>
      </c>
      <c r="H319">
        <f>+WEEKNUM(A319)</f>
        <v/>
      </c>
      <c r="I319">
        <f>+YEAR(A319)</f>
        <v/>
      </c>
    </row>
    <row r="320">
      <c r="A320" s="1" t="n">
        <v>45562</v>
      </c>
      <c r="B320" t="inlineStr">
        <is>
          <t>VilMat</t>
        </is>
      </c>
      <c r="C320" t="inlineStr">
        <is>
          <t>Consultant</t>
        </is>
      </c>
      <c r="D320" t="inlineStr">
        <is>
          <t>Support #72794: FR3 Testavimo pastebėjimai</t>
        </is>
      </c>
      <c r="E320" t="inlineStr">
        <is>
          <t>Užduočių perdavimas Alinai</t>
        </is>
      </c>
      <c r="F320" t="n">
        <v>1</v>
      </c>
      <c r="G320" t="inlineStr">
        <is>
          <t>Yes</t>
        </is>
      </c>
      <c r="H320">
        <f>+WEEKNUM(A320)</f>
        <v/>
      </c>
      <c r="I320">
        <f>+YEAR(A320)</f>
        <v/>
      </c>
    </row>
    <row r="321">
      <c r="A321" s="1" t="n">
        <v>45562</v>
      </c>
      <c r="B321" t="inlineStr">
        <is>
          <t>AliAni</t>
        </is>
      </c>
      <c r="C321" t="inlineStr">
        <is>
          <t>Developer</t>
        </is>
      </c>
      <c r="D321" t="inlineStr">
        <is>
          <t>Bug #72829:  Notification about task (Teams) Skaičius dauginamas iš dviejų 1, 2, 4, 8... Po kiekvieno perskyrimo. Lauką užrakinti, nes galima įvesti bet kokį skaičių.</t>
        </is>
      </c>
      <c r="E321" t="inlineStr">
        <is>
          <t>Susitvarkė TEST</t>
        </is>
      </c>
      <c r="F321" t="n">
        <v>0.25</v>
      </c>
      <c r="G321" t="inlineStr">
        <is>
          <t>No</t>
        </is>
      </c>
      <c r="H321">
        <f>+WEEKNUM(A321)</f>
        <v/>
      </c>
      <c r="I321">
        <f>+YEAR(A321)</f>
        <v/>
      </c>
    </row>
    <row r="322">
      <c r="A322" s="1" t="n">
        <v>45562</v>
      </c>
      <c r="B322" t="inlineStr">
        <is>
          <t>AliAni</t>
        </is>
      </c>
      <c r="C322" t="inlineStr">
        <is>
          <t>Developer</t>
        </is>
      </c>
      <c r="D322" t="inlineStr">
        <is>
          <t>Bug #72827:  Notification about task (Teams) Naujas mygtukas, užduotis lieka vykdoma, "Veiklos būsena" = "Assigned/Perskirta"</t>
        </is>
      </c>
      <c r="E322" t="inlineStr">
        <is>
          <t>Tuo pačiu prie užduoties sutvarkyta https://pm.go-erp.eu/issues/72802</t>
        </is>
      </c>
      <c r="F322" t="n">
        <v>0.25</v>
      </c>
      <c r="G322" t="inlineStr">
        <is>
          <t>No</t>
        </is>
      </c>
      <c r="H322">
        <f>+WEEKNUM(A322)</f>
        <v/>
      </c>
      <c r="I322">
        <f>+YEAR(A322)</f>
        <v/>
      </c>
    </row>
    <row r="323">
      <c r="A323" s="1" t="n">
        <v>45562</v>
      </c>
      <c r="B323" t="inlineStr">
        <is>
          <t>AliAni</t>
        </is>
      </c>
      <c r="C323" t="inlineStr">
        <is>
          <t>Developer</t>
        </is>
      </c>
      <c r="D323" t="inlineStr">
        <is>
          <t xml:space="preserve">Bug #72826:  Notification about task (Teams) Neturi būti galimybės vesti komentaro. </t>
        </is>
      </c>
      <c r="E323" t="inlineStr">
        <is>
          <t>Išėmiau komentarą</t>
        </is>
      </c>
      <c r="F323" t="n">
        <v>0.5</v>
      </c>
      <c r="G323" t="inlineStr">
        <is>
          <t>No</t>
        </is>
      </c>
      <c r="H323">
        <f>+WEEKNUM(A323)</f>
        <v/>
      </c>
      <c r="I323">
        <f>+YEAR(A323)</f>
        <v/>
      </c>
    </row>
    <row r="324">
      <c r="A324" s="1" t="n">
        <v>45562</v>
      </c>
      <c r="B324" t="inlineStr">
        <is>
          <t>AliAni</t>
        </is>
      </c>
      <c r="C324" t="inlineStr">
        <is>
          <t>Developer</t>
        </is>
      </c>
      <c r="D324" t="inlineStr">
        <is>
          <t>Bug #72802: Approval (Teams) Mygtukas liekas su savo funkcija, Approval Status/Patvirtinimo būsena turi būti "Grąžinta atgal", dabar yra "Priskirtas atgal"</t>
        </is>
      </c>
      <c r="F324" t="n">
        <v>0.25</v>
      </c>
      <c r="G324" t="inlineStr">
        <is>
          <t>No</t>
        </is>
      </c>
      <c r="H324">
        <f>+WEEKNUM(A324)</f>
        <v/>
      </c>
      <c r="I324">
        <f>+YEAR(A324)</f>
        <v/>
      </c>
    </row>
    <row r="325">
      <c r="A325" s="1" t="n">
        <v>45562</v>
      </c>
      <c r="B325" t="inlineStr">
        <is>
          <t>AliAni</t>
        </is>
      </c>
      <c r="C325" t="inlineStr">
        <is>
          <t>Developer</t>
        </is>
      </c>
      <c r="D325" t="inlineStr">
        <is>
          <t>Bug #72801: (Approval (Teams)) Nepašalintas mygtukas</t>
        </is>
      </c>
      <c r="E325" t="inlineStr">
        <is>
          <t>susidubliavo flows Test aplinkoje</t>
        </is>
      </c>
      <c r="F325" t="n">
        <v>0.5</v>
      </c>
      <c r="G325" t="inlineStr">
        <is>
          <t>No</t>
        </is>
      </c>
      <c r="H325">
        <f>+WEEKNUM(A325)</f>
        <v/>
      </c>
      <c r="I325">
        <f>+YEAR(A325)</f>
        <v/>
      </c>
    </row>
    <row r="326">
      <c r="A326" s="1" t="n">
        <v>45562</v>
      </c>
      <c r="B326" t="inlineStr">
        <is>
          <t>AliAni</t>
        </is>
      </c>
      <c r="C326" t="inlineStr">
        <is>
          <t>Developer</t>
        </is>
      </c>
      <c r="D326" t="inlineStr">
        <is>
          <t>Bug #72804: Approval (Teams) Skaičius dauginamas iš dviejų 1, 2, 4, 8... Po kiekvieno perskyrimo. Lauką užrakinti, nes galima įvesti bet kokį skaičių.</t>
        </is>
      </c>
      <c r="E326" t="inlineStr">
        <is>
          <t>Solution layer Test aplinkoje tvarkymas</t>
        </is>
      </c>
      <c r="F326" t="n">
        <v>0.25</v>
      </c>
      <c r="G326" t="inlineStr">
        <is>
          <t>No</t>
        </is>
      </c>
      <c r="H326">
        <f>+WEEKNUM(A326)</f>
        <v/>
      </c>
      <c r="I326">
        <f>+YEAR(A326)</f>
        <v/>
      </c>
    </row>
    <row r="327">
      <c r="A327" s="1" t="n">
        <v>45562</v>
      </c>
      <c r="B327" t="inlineStr">
        <is>
          <t>VilMat</t>
        </is>
      </c>
      <c r="C327" t="inlineStr">
        <is>
          <t>Consultant</t>
        </is>
      </c>
      <c r="D327" t="inlineStr">
        <is>
          <t>Support #72794: FR3 Testavimo pastebėjimai</t>
        </is>
      </c>
      <c r="E327" t="inlineStr">
        <is>
          <t>Peržiūrėti gražintus komentarus, perskirstyti užduotis, informuoti Aliną apie veiksmų seką</t>
        </is>
      </c>
      <c r="F327" t="n">
        <v>0.75</v>
      </c>
      <c r="G327" t="inlineStr">
        <is>
          <t>Yes</t>
        </is>
      </c>
      <c r="H327">
        <f>+WEEKNUM(A327)</f>
        <v/>
      </c>
      <c r="I327">
        <f>+YEAR(A327)</f>
        <v/>
      </c>
    </row>
    <row r="328">
      <c r="A328" s="1" t="n">
        <v>45562</v>
      </c>
      <c r="B328" t="inlineStr">
        <is>
          <t>AliAni</t>
        </is>
      </c>
      <c r="C328" t="inlineStr">
        <is>
          <t>Developer</t>
        </is>
      </c>
      <c r="D328" t="inlineStr">
        <is>
          <t>Bug #72791: (Paprasta Užduotis) Sukurti laukelį "Reassigment count/Perskyrimų skaičius" užduoties lange po "Savininkas/Owner" lauku - skaičius, kuris parodo kiek kartų keitėsi savininkas</t>
        </is>
      </c>
      <c r="F328" t="n">
        <v>0.5</v>
      </c>
      <c r="G328" t="inlineStr">
        <is>
          <t>No</t>
        </is>
      </c>
      <c r="H328">
        <f>+WEEKNUM(A328)</f>
        <v/>
      </c>
      <c r="I328">
        <f>+YEAR(A328)</f>
        <v/>
      </c>
    </row>
    <row r="329">
      <c r="A329" s="1" t="n">
        <v>45562</v>
      </c>
      <c r="B329" t="inlineStr">
        <is>
          <t>AliAni</t>
        </is>
      </c>
      <c r="C329" t="inlineStr">
        <is>
          <t>Developer</t>
        </is>
      </c>
      <c r="D329" t="inlineStr">
        <is>
          <t>Bug #72856: Neina konvertuoti telefono skambučio į naują užklausą ir galimą klientą</t>
        </is>
      </c>
      <c r="E329" t="inlineStr">
        <is>
          <t>Testavimas</t>
        </is>
      </c>
      <c r="F329" t="n">
        <v>0.25</v>
      </c>
      <c r="G329" t="inlineStr">
        <is>
          <t>No</t>
        </is>
      </c>
      <c r="H329">
        <f>+WEEKNUM(A329)</f>
        <v/>
      </c>
      <c r="I329">
        <f>+YEAR(A329)</f>
        <v/>
      </c>
    </row>
    <row r="330">
      <c r="A330" s="1" t="n">
        <v>45562</v>
      </c>
      <c r="B330" t="inlineStr">
        <is>
          <t>AliAni</t>
        </is>
      </c>
      <c r="C330" t="inlineStr">
        <is>
          <t>Developer</t>
        </is>
      </c>
      <c r="D330" t="inlineStr">
        <is>
          <t>Bug #72859: Nėra galimybės priskirti temų/potemių komandai/žmogui</t>
        </is>
      </c>
      <c r="E330" t="inlineStr">
        <is>
          <t>Susietos https://pm.go-erp.eu/issues/72873</t>
        </is>
      </c>
      <c r="F330" t="n">
        <v>0.25</v>
      </c>
      <c r="G330" t="inlineStr">
        <is>
          <t>No</t>
        </is>
      </c>
      <c r="H330">
        <f>+WEEKNUM(A330)</f>
        <v/>
      </c>
      <c r="I330">
        <f>+YEAR(A330)</f>
        <v/>
      </c>
    </row>
    <row r="331">
      <c r="A331" s="1" t="n">
        <v>45562</v>
      </c>
      <c r="B331" t="inlineStr">
        <is>
          <t>AliAni</t>
        </is>
      </c>
      <c r="C331" t="inlineStr">
        <is>
          <t>Developer</t>
        </is>
      </c>
      <c r="D331" t="inlineStr">
        <is>
          <t>Bug #72862: Topic ir subtopic rodo visas temas</t>
        </is>
      </c>
      <c r="E331" t="inlineStr">
        <is>
          <t>Testavimas</t>
        </is>
      </c>
      <c r="F331" t="n">
        <v>0.25</v>
      </c>
      <c r="G331" t="inlineStr">
        <is>
          <t>No</t>
        </is>
      </c>
      <c r="H331">
        <f>+WEEKNUM(A331)</f>
        <v/>
      </c>
      <c r="I331">
        <f>+YEAR(A331)</f>
        <v/>
      </c>
    </row>
    <row r="332">
      <c r="A332" s="1" t="n">
        <v>45562</v>
      </c>
      <c r="B332" t="inlineStr">
        <is>
          <t>AliAni</t>
        </is>
      </c>
      <c r="C332" t="inlineStr">
        <is>
          <t>Developer</t>
        </is>
      </c>
      <c r="D332" t="inlineStr">
        <is>
          <t>Bug #72866: TŽ žingsnio pavadinimas turi būti "Išorės konsultacija"</t>
        </is>
      </c>
      <c r="E332" t="inlineStr">
        <is>
          <t>Testavimas</t>
        </is>
      </c>
      <c r="F332" t="n">
        <v>0.25</v>
      </c>
      <c r="G332" t="inlineStr">
        <is>
          <t>No</t>
        </is>
      </c>
      <c r="H332">
        <f>+WEEKNUM(A332)</f>
        <v/>
      </c>
      <c r="I332">
        <f>+YEAR(A332)</f>
        <v/>
      </c>
    </row>
    <row r="333">
      <c r="A333" s="1" t="n">
        <v>45562</v>
      </c>
      <c r="B333" t="inlineStr">
        <is>
          <t>AliAni</t>
        </is>
      </c>
      <c r="C333" t="inlineStr">
        <is>
          <t>Developer</t>
        </is>
      </c>
      <c r="D333" t="inlineStr">
        <is>
          <t>Bug #72867: Sustabdymo komentaras: laisvas ilgo teksto laukas - nėra lauko</t>
        </is>
      </c>
      <c r="E333" t="inlineStr">
        <is>
          <t>Sutvarkyta ir ištestuota. Kometaras matosi</t>
        </is>
      </c>
      <c r="F333" t="n">
        <v>0.25</v>
      </c>
      <c r="G333" t="inlineStr">
        <is>
          <t>No</t>
        </is>
      </c>
      <c r="H333">
        <f>+WEEKNUM(A333)</f>
        <v/>
      </c>
      <c r="I333">
        <f>+YEAR(A333)</f>
        <v/>
      </c>
    </row>
    <row r="334">
      <c r="A334" s="1" t="n">
        <v>45562</v>
      </c>
      <c r="B334" t="inlineStr">
        <is>
          <t>AliAni</t>
        </is>
      </c>
      <c r="C334" t="inlineStr">
        <is>
          <t>Developer</t>
        </is>
      </c>
      <c r="D334" t="inlineStr">
        <is>
          <t>Bug #72879: Užklausa neužsidaro, nepereina į "Išspręsta" būseną. Pastringa ties "Atsakymas klientui/ Uždarymas", kai procesas užbaigiamas. Tą eina padaryti tik per Srautas&gt;Resolve case.</t>
        </is>
      </c>
      <c r="E334" t="inlineStr">
        <is>
          <t>Susijusi https://pm.go-erp.eu/issues/72900?issue_count=10&amp;issue_position=9&amp;next_issue_id=70542&amp;prev_issue_id=72856</t>
        </is>
      </c>
      <c r="F334" t="n">
        <v>0.25</v>
      </c>
      <c r="G334" t="inlineStr">
        <is>
          <t>No</t>
        </is>
      </c>
      <c r="H334">
        <f>+WEEKNUM(A334)</f>
        <v/>
      </c>
      <c r="I334">
        <f>+YEAR(A334)</f>
        <v/>
      </c>
    </row>
    <row r="335">
      <c r="A335" s="1" t="n">
        <v>45562</v>
      </c>
      <c r="B335" t="inlineStr">
        <is>
          <t>AliAni</t>
        </is>
      </c>
      <c r="C335" t="inlineStr">
        <is>
          <t>Developer</t>
        </is>
      </c>
      <c r="D335" t="inlineStr">
        <is>
          <t>Bug #72887: Pretenzijos informacija skiltis turi būti matoma tik Pretenzijos atveju. Dabar ši vieta ar jos dalis matoma visada.</t>
        </is>
      </c>
      <c r="E335" t="inlineStr">
        <is>
          <t>Test aplinkoje ištestuotas. Tik Claim atvėjų matosi</t>
        </is>
      </c>
      <c r="F335" t="n">
        <v>0.25</v>
      </c>
      <c r="G335" t="inlineStr">
        <is>
          <t>No</t>
        </is>
      </c>
      <c r="H335">
        <f>+WEEKNUM(A335)</f>
        <v/>
      </c>
      <c r="I335">
        <f>+YEAR(A335)</f>
        <v/>
      </c>
    </row>
    <row r="336">
      <c r="A336" s="1" t="n">
        <v>45562</v>
      </c>
      <c r="B336" t="inlineStr">
        <is>
          <t>AliAni</t>
        </is>
      </c>
      <c r="C336" t="inlineStr">
        <is>
          <t>Developer</t>
        </is>
      </c>
      <c r="D336" t="inlineStr">
        <is>
          <t>Bug #72888: Laukas "Būsena" turi būti užrakintas</t>
        </is>
      </c>
      <c r="E336" t="inlineStr">
        <is>
          <t>Test aplinkoje užrakintas</t>
        </is>
      </c>
      <c r="F336" t="n">
        <v>0.25</v>
      </c>
      <c r="G336" t="inlineStr">
        <is>
          <t>No</t>
        </is>
      </c>
      <c r="H336">
        <f>+WEEKNUM(A336)</f>
        <v/>
      </c>
      <c r="I336">
        <f>+YEAR(A336)</f>
        <v/>
      </c>
    </row>
    <row r="337">
      <c r="A337" s="1" t="n">
        <v>45562</v>
      </c>
      <c r="B337" t="inlineStr">
        <is>
          <t>AliAni</t>
        </is>
      </c>
      <c r="C337" t="inlineStr">
        <is>
          <t>Developer</t>
        </is>
      </c>
      <c r="D337" t="inlineStr">
        <is>
          <t>Bug #72889: "Užklausos pagrindinė priežastis" neturi būti atvaizduojama, čia tikriausiai senas palikimas</t>
        </is>
      </c>
      <c r="E337" t="inlineStr">
        <is>
          <t>testavimas</t>
        </is>
      </c>
      <c r="F337" t="n">
        <v>0.25</v>
      </c>
      <c r="G337" t="inlineStr">
        <is>
          <t>No</t>
        </is>
      </c>
      <c r="H337">
        <f>+WEEKNUM(A337)</f>
        <v/>
      </c>
      <c r="I337">
        <f>+YEAR(A337)</f>
        <v/>
      </c>
    </row>
    <row r="338">
      <c r="A338" s="1" t="n">
        <v>45562</v>
      </c>
      <c r="B338" t="inlineStr">
        <is>
          <t>AliAni</t>
        </is>
      </c>
      <c r="C338" t="inlineStr">
        <is>
          <t>Developer</t>
        </is>
      </c>
      <c r="D338" t="inlineStr">
        <is>
          <t>Bug #72894: Pasirinkus "Reikalingas sekantis žingsnis" = "Taip", "Sekantis žingsnis" turi būti privalomas, nes galima nepasirinkus pereiti į kitą etapą</t>
        </is>
      </c>
      <c r="E338" t="inlineStr">
        <is>
          <t>Bussiness rules veikia testavimo aplinkoje</t>
        </is>
      </c>
      <c r="F338" t="n">
        <v>0.25</v>
      </c>
      <c r="G338" t="inlineStr">
        <is>
          <t>No</t>
        </is>
      </c>
      <c r="H338">
        <f>+WEEKNUM(A338)</f>
        <v/>
      </c>
      <c r="I338">
        <f>+YEAR(A338)</f>
        <v/>
      </c>
    </row>
    <row r="339">
      <c r="A339" s="1" t="n">
        <v>45562</v>
      </c>
      <c r="B339" t="inlineStr">
        <is>
          <t>AliAni</t>
        </is>
      </c>
      <c r="C339" t="inlineStr">
        <is>
          <t>Developer</t>
        </is>
      </c>
      <c r="D339" t="inlineStr">
        <is>
          <t>Bug #72873: Nėra būdo priskirti Komandai matyma arba neradau</t>
        </is>
      </c>
      <c r="E339" t="inlineStr">
        <is>
          <t>Testavimas</t>
        </is>
      </c>
      <c r="F339" t="n">
        <v>0.5</v>
      </c>
      <c r="G339" t="inlineStr">
        <is>
          <t>No</t>
        </is>
      </c>
      <c r="H339">
        <f>+WEEKNUM(A339)</f>
        <v/>
      </c>
      <c r="I339">
        <f>+YEAR(A339)</f>
        <v/>
      </c>
    </row>
    <row r="340">
      <c r="A340" s="1" t="n">
        <v>45562</v>
      </c>
      <c r="B340" t="inlineStr">
        <is>
          <t>AliAni</t>
        </is>
      </c>
      <c r="C340" t="inlineStr">
        <is>
          <t>Developer</t>
        </is>
      </c>
      <c r="D340" t="inlineStr">
        <is>
          <t>Bug #72900: Neina atšaukti užklausos. Bandant atšaukit gaunamas pranešimas "Atšauktieji atvejai". Atšaukus, keletą sekundžių atsišaukia ir aktyvinasi užklausa per naują kaip kad būtų pakartotinai atidaryta.</t>
        </is>
      </c>
      <c r="E340" t="inlineStr">
        <is>
          <t>Testavimas ir miracija</t>
        </is>
      </c>
      <c r="F340" t="n">
        <v>1.5</v>
      </c>
      <c r="G340" t="inlineStr">
        <is>
          <t>No</t>
        </is>
      </c>
      <c r="H340">
        <f>+WEEKNUM(A340)</f>
        <v/>
      </c>
      <c r="I340">
        <f>+YEAR(A340)</f>
        <v/>
      </c>
    </row>
    <row r="341">
      <c r="A341" s="1" t="n">
        <v>45561</v>
      </c>
      <c r="B341" t="inlineStr">
        <is>
          <t>AliAni</t>
        </is>
      </c>
      <c r="C341" t="inlineStr">
        <is>
          <t>Developer</t>
        </is>
      </c>
      <c r="D341" t="inlineStr">
        <is>
          <t>Support #72794: FR3 Testavimo pastebėjimai</t>
        </is>
      </c>
      <c r="E341" t="inlineStr">
        <is>
          <t>Migravimo case modulio darbai</t>
        </is>
      </c>
      <c r="F341" t="n">
        <v>0.5</v>
      </c>
      <c r="G341" t="inlineStr">
        <is>
          <t>Yes</t>
        </is>
      </c>
      <c r="H341">
        <f>+WEEKNUM(A341)</f>
        <v/>
      </c>
      <c r="I341">
        <f>+YEAR(A341)</f>
        <v/>
      </c>
    </row>
    <row r="342">
      <c r="A342" s="1" t="n">
        <v>45561</v>
      </c>
      <c r="B342" t="inlineStr">
        <is>
          <t>VilMat</t>
        </is>
      </c>
      <c r="C342" t="inlineStr">
        <is>
          <t>Consultant</t>
        </is>
      </c>
      <c r="D342" t="inlineStr">
        <is>
          <t>Support #72794: FR3 Testavimo pastebėjimai</t>
        </is>
      </c>
      <c r="E342" t="inlineStr">
        <is>
          <t>LTG importas - nepasinaikina webresource</t>
        </is>
      </c>
      <c r="F342" t="n">
        <v>0.5</v>
      </c>
      <c r="G342" t="inlineStr">
        <is>
          <t>Yes</t>
        </is>
      </c>
      <c r="H342">
        <f>+WEEKNUM(A342)</f>
        <v/>
      </c>
      <c r="I342">
        <f>+YEAR(A342)</f>
        <v/>
      </c>
    </row>
    <row r="343">
      <c r="A343" s="1" t="n">
        <v>45561</v>
      </c>
      <c r="B343" t="inlineStr">
        <is>
          <t>AliAni</t>
        </is>
      </c>
      <c r="C343" t="inlineStr">
        <is>
          <t>Developer</t>
        </is>
      </c>
      <c r="D343" t="inlineStr">
        <is>
          <t>Bug #72900: Neina atšaukti užklausos. Bandant atšaukit gaunamas pranešimas "Atšauktieji atvejai". Atšaukus, keletą sekundžių atsišaukia ir aktyvinasi užklausa per naują kaip kad būtų pakartotinai atidaryta.</t>
        </is>
      </c>
      <c r="E343" t="inlineStr">
        <is>
          <t>Migracija ir testavimas. Neeina nuimti handler nuo status lauko formoje.</t>
        </is>
      </c>
      <c r="F343" t="n">
        <v>1</v>
      </c>
      <c r="G343" t="inlineStr">
        <is>
          <t>No</t>
        </is>
      </c>
      <c r="H343">
        <f>+WEEKNUM(A343)</f>
        <v/>
      </c>
      <c r="I343">
        <f>+YEAR(A343)</f>
        <v/>
      </c>
    </row>
    <row r="344">
      <c r="A344" s="1" t="n">
        <v>45561</v>
      </c>
      <c r="B344" t="inlineStr">
        <is>
          <t>AliAni</t>
        </is>
      </c>
      <c r="C344" t="inlineStr">
        <is>
          <t>Developer</t>
        </is>
      </c>
      <c r="D344" t="inlineStr">
        <is>
          <t>Bug #72873: Nėra būdo priskirti Komandai matyma arba neradau</t>
        </is>
      </c>
      <c r="E344" t="inlineStr">
        <is>
          <t>Testavimas</t>
        </is>
      </c>
      <c r="F344" t="n">
        <v>0.5</v>
      </c>
      <c r="G344" t="inlineStr">
        <is>
          <t>No</t>
        </is>
      </c>
      <c r="H344">
        <f>+WEEKNUM(A344)</f>
        <v/>
      </c>
      <c r="I344">
        <f>+YEAR(A344)</f>
        <v/>
      </c>
    </row>
    <row r="345">
      <c r="A345" s="1" t="n">
        <v>45561</v>
      </c>
      <c r="B345" t="inlineStr">
        <is>
          <t>AliAni</t>
        </is>
      </c>
      <c r="C345" t="inlineStr">
        <is>
          <t>Developer</t>
        </is>
      </c>
      <c r="D345" t="inlineStr">
        <is>
          <t>Bug #72859: Nėra galimybės priskirti temų/potemių komandai/žmogui</t>
        </is>
      </c>
      <c r="E345" t="inlineStr">
        <is>
          <t>Aptvarkyto selection. Aptvarkytos teisės Topic ir Subtopic vartotojui matyti įrašą</t>
        </is>
      </c>
      <c r="F345" t="n">
        <v>4.25</v>
      </c>
      <c r="G345" t="inlineStr">
        <is>
          <t>No</t>
        </is>
      </c>
      <c r="H345">
        <f>+WEEKNUM(A345)</f>
        <v/>
      </c>
      <c r="I345">
        <f>+YEAR(A345)</f>
        <v/>
      </c>
    </row>
    <row r="346">
      <c r="A346" s="1" t="n">
        <v>45561</v>
      </c>
      <c r="B346" t="inlineStr">
        <is>
          <t>AliAni</t>
        </is>
      </c>
      <c r="C346" t="inlineStr">
        <is>
          <t>Developer</t>
        </is>
      </c>
      <c r="D346" t="inlineStr">
        <is>
          <t>Bug #72481: FR3-240906-015 Kliento atliktų testavimo rezultatų taisymams skirto laiko fiksavimas</t>
        </is>
      </c>
      <c r="E346" t="inlineStr">
        <is>
          <t>flow "Task - Send Notifications about Tasks term run out" failino. Patvarkytas</t>
        </is>
      </c>
      <c r="F346" t="n">
        <v>0.5</v>
      </c>
      <c r="G346" t="inlineStr">
        <is>
          <t>No</t>
        </is>
      </c>
      <c r="H346">
        <f>+WEEKNUM(A346)</f>
        <v/>
      </c>
      <c r="I346">
        <f>+YEAR(A346)</f>
        <v/>
      </c>
    </row>
    <row r="347">
      <c r="A347" s="1" t="n">
        <v>45560</v>
      </c>
      <c r="B347" t="inlineStr">
        <is>
          <t>VilMat</t>
        </is>
      </c>
      <c r="C347" t="inlineStr">
        <is>
          <t>Consultant</t>
        </is>
      </c>
      <c r="D347" t="inlineStr">
        <is>
          <t>Bug #72827:  Notification about task (Teams) Naujas mygtukas, užduotis lieka vykdoma, "Veiklos būsena" = "Assigned/Perskirta"</t>
        </is>
      </c>
      <c r="E347" t="inlineStr">
        <is>
          <t>Atliktų korekcijų testavimas</t>
        </is>
      </c>
      <c r="F347" t="n">
        <v>0.75</v>
      </c>
      <c r="G347" t="inlineStr">
        <is>
          <t>No</t>
        </is>
      </c>
      <c r="H347">
        <f>+WEEKNUM(A347)</f>
        <v/>
      </c>
      <c r="I347">
        <f>+YEAR(A347)</f>
        <v/>
      </c>
    </row>
    <row r="348">
      <c r="A348" s="1" t="n">
        <v>45560</v>
      </c>
      <c r="B348" t="inlineStr">
        <is>
          <t>VilMat</t>
        </is>
      </c>
      <c r="C348" t="inlineStr">
        <is>
          <t>Consultant</t>
        </is>
      </c>
      <c r="D348" t="inlineStr">
        <is>
          <t>Bug #72832:  Notification about task (Teams) Nefiksuojamas paskutinis pasikeitimas</t>
        </is>
      </c>
      <c r="E348" t="inlineStr">
        <is>
          <t>Atliktų korekcijų testavimas</t>
        </is>
      </c>
      <c r="F348" t="n">
        <v>0.5</v>
      </c>
      <c r="G348" t="inlineStr">
        <is>
          <t>No</t>
        </is>
      </c>
      <c r="H348">
        <f>+WEEKNUM(A348)</f>
        <v/>
      </c>
      <c r="I348">
        <f>+YEAR(A348)</f>
        <v/>
      </c>
    </row>
    <row r="349">
      <c r="A349" s="1" t="n">
        <v>45560</v>
      </c>
      <c r="B349" t="inlineStr">
        <is>
          <t>VilMat</t>
        </is>
      </c>
      <c r="C349" t="inlineStr">
        <is>
          <t>Consultant</t>
        </is>
      </c>
      <c r="D349" t="inlineStr">
        <is>
          <t>Bug #72894: Pasirinkus "Reikalingas sekantis žingsnis" = "Taip", "Sekantis žingsnis" turi būti privalomas, nes galima nepasirinkus pereiti į kitą etapą</t>
        </is>
      </c>
      <c r="E349" t="inlineStr">
        <is>
          <t>Patikra su Alina dėl atlikto veikimo sprendimo realizavimo</t>
        </is>
      </c>
      <c r="F349" t="n">
        <v>0.5</v>
      </c>
      <c r="G349" t="inlineStr">
        <is>
          <t>No</t>
        </is>
      </c>
      <c r="H349">
        <f>+WEEKNUM(A349)</f>
        <v/>
      </c>
      <c r="I349">
        <f>+YEAR(A349)</f>
        <v/>
      </c>
    </row>
    <row r="350">
      <c r="A350" s="1" t="n">
        <v>45560</v>
      </c>
      <c r="B350" t="inlineStr">
        <is>
          <t>VilMat</t>
        </is>
      </c>
      <c r="C350" t="inlineStr">
        <is>
          <t>Consultant</t>
        </is>
      </c>
      <c r="D350" t="inlineStr">
        <is>
          <t>Bug #72862: Topic ir subtopic rodo visas temas</t>
        </is>
      </c>
      <c r="E350" t="inlineStr">
        <is>
          <t>Testavimas temų ir potėmių</t>
        </is>
      </c>
      <c r="F350" t="n">
        <v>0.75</v>
      </c>
      <c r="G350" t="inlineStr">
        <is>
          <t>No</t>
        </is>
      </c>
      <c r="H350">
        <f>+WEEKNUM(A350)</f>
        <v/>
      </c>
      <c r="I350">
        <f>+YEAR(A350)</f>
        <v/>
      </c>
    </row>
    <row r="351">
      <c r="A351" s="1" t="n">
        <v>45560</v>
      </c>
      <c r="B351" t="inlineStr">
        <is>
          <t>VilMat</t>
        </is>
      </c>
      <c r="C351" t="inlineStr">
        <is>
          <t>Consultant</t>
        </is>
      </c>
      <c r="D351" t="inlineStr">
        <is>
          <t>Bug #72862: Topic ir subtopic rodo visas temas</t>
        </is>
      </c>
      <c r="E351" t="inlineStr">
        <is>
          <t>Poreikio ir sutarto realizavimo detalizacija Alinai</t>
        </is>
      </c>
      <c r="F351" t="n">
        <v>0.5</v>
      </c>
      <c r="G351" t="inlineStr">
        <is>
          <t>No</t>
        </is>
      </c>
      <c r="H351">
        <f>+WEEKNUM(A351)</f>
        <v/>
      </c>
      <c r="I351">
        <f>+YEAR(A351)</f>
        <v/>
      </c>
    </row>
    <row r="352">
      <c r="A352" s="1" t="n">
        <v>45560</v>
      </c>
      <c r="B352" t="inlineStr">
        <is>
          <t>VilMat</t>
        </is>
      </c>
      <c r="C352" t="inlineStr">
        <is>
          <t>Consultant</t>
        </is>
      </c>
      <c r="D352" t="inlineStr">
        <is>
          <t>Bug #72866: TŽ žingsnio pavadinimas turi būti "Išorės konsultacija"</t>
        </is>
      </c>
      <c r="E352" t="inlineStr">
        <is>
          <t>Galimiems keitimams reikalingų procesų susižiūrėjimas, kuriems gali būti padaryta įtaka</t>
        </is>
      </c>
      <c r="F352" t="n">
        <v>0.5</v>
      </c>
      <c r="G352" t="inlineStr">
        <is>
          <t>No</t>
        </is>
      </c>
      <c r="H352">
        <f>+WEEKNUM(A352)</f>
        <v/>
      </c>
      <c r="I352">
        <f>+YEAR(A352)</f>
        <v/>
      </c>
    </row>
    <row r="353">
      <c r="A353" s="1" t="n">
        <v>45560</v>
      </c>
      <c r="B353" t="inlineStr">
        <is>
          <t>VilMat</t>
        </is>
      </c>
      <c r="C353" t="inlineStr">
        <is>
          <t>Consultant</t>
        </is>
      </c>
      <c r="D353" t="inlineStr">
        <is>
          <t>Bug #72888: Laukas "Būsena" turi būti užrakintas</t>
        </is>
      </c>
      <c r="E353" t="inlineStr">
        <is>
          <t>Susitikrinimas su Alina</t>
        </is>
      </c>
      <c r="F353" t="n">
        <v>0.25</v>
      </c>
      <c r="G353" t="inlineStr">
        <is>
          <t>No</t>
        </is>
      </c>
      <c r="H353">
        <f>+WEEKNUM(A353)</f>
        <v/>
      </c>
      <c r="I353">
        <f>+YEAR(A353)</f>
        <v/>
      </c>
    </row>
    <row r="354">
      <c r="A354" s="1" t="n">
        <v>45560</v>
      </c>
      <c r="B354" t="inlineStr">
        <is>
          <t>VilMat</t>
        </is>
      </c>
      <c r="C354" t="inlineStr">
        <is>
          <t>Consultant</t>
        </is>
      </c>
      <c r="D354" t="inlineStr">
        <is>
          <t>Bug #72856: Neina konvertuoti telefono skambučio į naują užklausą ir galimą klientą</t>
        </is>
      </c>
      <c r="E354" t="inlineStr">
        <is>
          <t>Susitikrinimas su Alina</t>
        </is>
      </c>
      <c r="F354" t="n">
        <v>0.25</v>
      </c>
      <c r="G354" t="inlineStr">
        <is>
          <t>No</t>
        </is>
      </c>
      <c r="H354">
        <f>+WEEKNUM(A354)</f>
        <v/>
      </c>
      <c r="I354">
        <f>+YEAR(A354)</f>
        <v/>
      </c>
    </row>
    <row r="355">
      <c r="A355" s="1" t="n">
        <v>45560</v>
      </c>
      <c r="B355" t="inlineStr">
        <is>
          <t>VilMat</t>
        </is>
      </c>
      <c r="C355" t="inlineStr">
        <is>
          <t>Consultant</t>
        </is>
      </c>
      <c r="D355" t="inlineStr">
        <is>
          <t>Bug #72857: Pakartotino suaktyvinimo priežastis - pakartotinai suaktyvinus procesą įrašoma priežastis (matomas tik pakartotinai suaktyvinus užklausą) - nėra šio lauko ir kažkas su procesu negerai nes neina užbaigti "Išspręsta" būsena negalima. Rodo kad pakartotinai s</t>
        </is>
      </c>
      <c r="E355" t="inlineStr">
        <is>
          <t>Susitikrinimas su Alina</t>
        </is>
      </c>
      <c r="F355" t="n">
        <v>0.25</v>
      </c>
      <c r="G355" t="inlineStr">
        <is>
          <t>No</t>
        </is>
      </c>
      <c r="H355">
        <f>+WEEKNUM(A355)</f>
        <v/>
      </c>
      <c r="I355">
        <f>+YEAR(A355)</f>
        <v/>
      </c>
    </row>
    <row r="356">
      <c r="A356" s="1" t="n">
        <v>45560</v>
      </c>
      <c r="B356" t="inlineStr">
        <is>
          <t>VilMat</t>
        </is>
      </c>
      <c r="C356" t="inlineStr">
        <is>
          <t>Consultant</t>
        </is>
      </c>
      <c r="D356" t="inlineStr">
        <is>
          <t>Bug #72865: Visi sukurti laukai turi būti loginami</t>
        </is>
      </c>
      <c r="E356" t="inlineStr">
        <is>
          <t>Susitikrinimas su Alina</t>
        </is>
      </c>
      <c r="F356" t="n">
        <v>0.25</v>
      </c>
      <c r="G356" t="inlineStr">
        <is>
          <t>No</t>
        </is>
      </c>
      <c r="H356">
        <f>+WEEKNUM(A356)</f>
        <v/>
      </c>
      <c r="I356">
        <f>+YEAR(A356)</f>
        <v/>
      </c>
    </row>
    <row r="357">
      <c r="A357" s="1" t="n">
        <v>45560</v>
      </c>
      <c r="B357" t="inlineStr">
        <is>
          <t>VilMat</t>
        </is>
      </c>
      <c r="C357" t="inlineStr">
        <is>
          <t>Consultant</t>
        </is>
      </c>
      <c r="D357" t="inlineStr">
        <is>
          <t>Bug #72858: Nerodo Situacijos analizės žingsnio ir negalima rinktis "Sekantis Žingsnis"</t>
        </is>
      </c>
      <c r="E357" t="inlineStr">
        <is>
          <t>Papildomos teisės saugumo rolėms</t>
        </is>
      </c>
      <c r="F357" t="n">
        <v>0.5</v>
      </c>
      <c r="G357" t="inlineStr">
        <is>
          <t>No</t>
        </is>
      </c>
      <c r="H357">
        <f>+WEEKNUM(A357)</f>
        <v/>
      </c>
      <c r="I357">
        <f>+YEAR(A357)</f>
        <v/>
      </c>
    </row>
    <row r="358">
      <c r="A358" s="1" t="n">
        <v>45560</v>
      </c>
      <c r="B358" t="inlineStr">
        <is>
          <t>AliAni</t>
        </is>
      </c>
      <c r="C358" t="inlineStr">
        <is>
          <t>Developer</t>
        </is>
      </c>
      <c r="D358" t="inlineStr">
        <is>
          <t>Bug #72867: Sustabdymo komentaras: laisvas ilgo teksto laukas - nėra lauko</t>
        </is>
      </c>
      <c r="E358" t="inlineStr">
        <is>
          <t>Rastas bussines rules</t>
        </is>
      </c>
      <c r="F358" t="n">
        <v>0.5</v>
      </c>
      <c r="G358" t="inlineStr">
        <is>
          <t>No</t>
        </is>
      </c>
      <c r="H358">
        <f>+WEEKNUM(A358)</f>
        <v/>
      </c>
      <c r="I358">
        <f>+YEAR(A358)</f>
        <v/>
      </c>
    </row>
    <row r="359">
      <c r="A359" s="1" t="n">
        <v>45560</v>
      </c>
      <c r="B359" t="inlineStr">
        <is>
          <t>AliAni</t>
        </is>
      </c>
      <c r="C359" t="inlineStr">
        <is>
          <t>Developer</t>
        </is>
      </c>
      <c r="D359" t="inlineStr">
        <is>
          <t>Bug #72894: Pasirinkus "Reikalingas sekantis žingsnis" = "Taip", "Sekantis žingsnis" turi būti privalomas, nes galima nepasirinkus pereiti į kitą etapą</t>
        </is>
      </c>
      <c r="E359" t="inlineStr">
        <is>
          <t>Testavimas</t>
        </is>
      </c>
      <c r="F359" t="n">
        <v>0.5</v>
      </c>
      <c r="G359" t="inlineStr">
        <is>
          <t>No</t>
        </is>
      </c>
      <c r="H359">
        <f>+WEEKNUM(A359)</f>
        <v/>
      </c>
      <c r="I359">
        <f>+YEAR(A359)</f>
        <v/>
      </c>
    </row>
    <row r="360">
      <c r="A360" s="1" t="n">
        <v>45560</v>
      </c>
      <c r="B360" t="inlineStr">
        <is>
          <t>AliAni</t>
        </is>
      </c>
      <c r="C360" t="inlineStr">
        <is>
          <t>Developer</t>
        </is>
      </c>
      <c r="D360" t="inlineStr">
        <is>
          <t>Bug #72862: Topic ir subtopic rodo visas temas</t>
        </is>
      </c>
      <c r="E360" t="inlineStr">
        <is>
          <t>Filtravima pataisytas</t>
        </is>
      </c>
      <c r="F360" t="n">
        <v>0.25</v>
      </c>
      <c r="G360" t="inlineStr">
        <is>
          <t>No</t>
        </is>
      </c>
      <c r="H360">
        <f>+WEEKNUM(A360)</f>
        <v/>
      </c>
      <c r="I360">
        <f>+YEAR(A360)</f>
        <v/>
      </c>
    </row>
    <row r="361">
      <c r="A361" s="1" t="n">
        <v>45560</v>
      </c>
      <c r="B361" t="inlineStr">
        <is>
          <t>AliAni</t>
        </is>
      </c>
      <c r="C361" t="inlineStr">
        <is>
          <t>Developer</t>
        </is>
      </c>
      <c r="D361" t="inlineStr">
        <is>
          <t>Bug #72865: Visi sukurti laukai turi būti loginami</t>
        </is>
      </c>
      <c r="E361" t="inlineStr">
        <is>
          <t>Įjuntas Audinig stulpeliuose</t>
        </is>
      </c>
      <c r="F361" t="n">
        <v>0.25</v>
      </c>
      <c r="G361" t="inlineStr">
        <is>
          <t>No</t>
        </is>
      </c>
      <c r="H361">
        <f>+WEEKNUM(A361)</f>
        <v/>
      </c>
      <c r="I361">
        <f>+YEAR(A361)</f>
        <v/>
      </c>
    </row>
    <row r="362">
      <c r="A362" s="1" t="n">
        <v>45560</v>
      </c>
      <c r="B362" t="inlineStr">
        <is>
          <t>AliAni</t>
        </is>
      </c>
      <c r="C362" t="inlineStr">
        <is>
          <t>Developer</t>
        </is>
      </c>
      <c r="D362" t="inlineStr">
        <is>
          <t>Bug #72887: Pretenzijos informacija skiltis turi būti matoma tik Pretenzijos atveju. Dabar ši vieta ar jos dalis matoma visada.</t>
        </is>
      </c>
      <c r="E362" t="inlineStr">
        <is>
          <t>Aptvarkyti web resursai susieti su Case</t>
        </is>
      </c>
      <c r="F362" t="n">
        <v>1</v>
      </c>
      <c r="G362" t="inlineStr">
        <is>
          <t>No</t>
        </is>
      </c>
      <c r="H362">
        <f>+WEEKNUM(A362)</f>
        <v/>
      </c>
      <c r="I362">
        <f>+YEAR(A362)</f>
        <v/>
      </c>
    </row>
    <row r="363">
      <c r="A363" s="1" t="n">
        <v>45560</v>
      </c>
      <c r="B363" t="inlineStr">
        <is>
          <t>AliAni</t>
        </is>
      </c>
      <c r="C363" t="inlineStr">
        <is>
          <t>Developer</t>
        </is>
      </c>
      <c r="D363" t="inlineStr">
        <is>
          <t>Bug #72888: Laukas "Būsena" turi būti užrakintas</t>
        </is>
      </c>
      <c r="E363" t="inlineStr">
        <is>
          <t>Statuso lauko pakeitimas</t>
        </is>
      </c>
      <c r="F363" t="n">
        <v>0.5</v>
      </c>
      <c r="G363" t="inlineStr">
        <is>
          <t>No</t>
        </is>
      </c>
      <c r="H363">
        <f>+WEEKNUM(A363)</f>
        <v/>
      </c>
      <c r="I363">
        <f>+YEAR(A363)</f>
        <v/>
      </c>
    </row>
    <row r="364">
      <c r="A364" s="1" t="n">
        <v>45560</v>
      </c>
      <c r="B364" t="inlineStr">
        <is>
          <t>AliAni</t>
        </is>
      </c>
      <c r="C364" t="inlineStr">
        <is>
          <t>Developer</t>
        </is>
      </c>
      <c r="D364" t="inlineStr">
        <is>
          <t>Bug #72889: "Užklausos pagrindinė priežastis" neturi būti atvaizduojama, čia tikriausiai senas palikimas</t>
        </is>
      </c>
      <c r="F364" t="n">
        <v>0.25</v>
      </c>
      <c r="G364" t="inlineStr">
        <is>
          <t>No</t>
        </is>
      </c>
      <c r="H364">
        <f>+WEEKNUM(A364)</f>
        <v/>
      </c>
      <c r="I364">
        <f>+YEAR(A364)</f>
        <v/>
      </c>
    </row>
    <row r="365">
      <c r="A365" s="1" t="n">
        <v>45560</v>
      </c>
      <c r="B365" t="inlineStr">
        <is>
          <t>AliAni</t>
        </is>
      </c>
      <c r="C365" t="inlineStr">
        <is>
          <t>Developer</t>
        </is>
      </c>
      <c r="D365" t="inlineStr">
        <is>
          <t>Bug #72857: Pakartotino suaktyvinimo priežastis - pakartotinai suaktyvinus procesą įrašoma priežastis (matomas tik pakartotinai suaktyvinus užklausą) - nėra šio lauko ir kažkas su procesu negerai nes neina užbaigti "Išspręsta" būsena negalima. Rodo kad pakartotinai s</t>
        </is>
      </c>
      <c r="F365" t="n">
        <v>0.25</v>
      </c>
      <c r="G365" t="inlineStr">
        <is>
          <t>No</t>
        </is>
      </c>
      <c r="H365">
        <f>+WEEKNUM(A365)</f>
        <v/>
      </c>
      <c r="I365">
        <f>+YEAR(A365)</f>
        <v/>
      </c>
    </row>
    <row r="366">
      <c r="A366" s="1" t="n">
        <v>45560</v>
      </c>
      <c r="B366" t="inlineStr">
        <is>
          <t>AliAni</t>
        </is>
      </c>
      <c r="C366" t="inlineStr">
        <is>
          <t>Developer</t>
        </is>
      </c>
      <c r="D366" t="inlineStr">
        <is>
          <t>Bug #72856: Neina konvertuoti telefono skambučio į naują užklausą ir galimą klientą</t>
        </is>
      </c>
      <c r="F366" t="n">
        <v>0.5</v>
      </c>
      <c r="G366" t="inlineStr">
        <is>
          <t>No</t>
        </is>
      </c>
      <c r="H366">
        <f>+WEEKNUM(A366)</f>
        <v/>
      </c>
      <c r="I366">
        <f>+YEAR(A366)</f>
        <v/>
      </c>
    </row>
    <row r="367">
      <c r="A367" s="1" t="n">
        <v>45560</v>
      </c>
      <c r="B367" t="inlineStr">
        <is>
          <t>AliAni</t>
        </is>
      </c>
      <c r="C367" t="inlineStr">
        <is>
          <t>Developer</t>
        </is>
      </c>
      <c r="D367" t="inlineStr">
        <is>
          <t>Bug #72879: Užklausa neužsidaro, nepereina į "Išspręsta" būseną. Pastringa ties "Atsakymas klientui/ Uždarymas", kai procesas užbaigiamas. Tą eina padaryti tik per Srautas&gt;Resolve case.</t>
        </is>
      </c>
      <c r="E367" t="inlineStr">
        <is>
          <t>Testavimas</t>
        </is>
      </c>
      <c r="F367" t="n">
        <v>0.25</v>
      </c>
      <c r="G367" t="inlineStr">
        <is>
          <t>No</t>
        </is>
      </c>
      <c r="H367">
        <f>+WEEKNUM(A367)</f>
        <v/>
      </c>
      <c r="I367">
        <f>+YEAR(A367)</f>
        <v/>
      </c>
    </row>
    <row r="368">
      <c r="A368" s="1" t="n">
        <v>45560</v>
      </c>
      <c r="B368" t="inlineStr">
        <is>
          <t>AliAni</t>
        </is>
      </c>
      <c r="C368" t="inlineStr">
        <is>
          <t>Developer</t>
        </is>
      </c>
      <c r="D368" t="inlineStr">
        <is>
          <t>Bug #72900: Neina atšaukti užklausos. Bandant atšaukit gaunamas pranešimas "Atšauktieji atvejai". Atšaukus, keletą sekundžių atsišaukia ir aktyvinasi užklausa per naują kaip kad būtų pakartotinai atidaryta.</t>
        </is>
      </c>
      <c r="E368" t="inlineStr">
        <is>
          <t>Aptvarkytas formos saugojimas, reaktivavimo skriptas</t>
        </is>
      </c>
      <c r="F368" t="n">
        <v>1.75</v>
      </c>
      <c r="G368" t="inlineStr">
        <is>
          <t>No</t>
        </is>
      </c>
      <c r="H368">
        <f>+WEEKNUM(A368)</f>
        <v/>
      </c>
      <c r="I368">
        <f>+YEAR(A368)</f>
        <v/>
      </c>
    </row>
    <row r="369">
      <c r="A369" s="1" t="n">
        <v>45559</v>
      </c>
      <c r="B369" t="inlineStr">
        <is>
          <t>VilMat</t>
        </is>
      </c>
      <c r="C369" t="inlineStr">
        <is>
          <t>Consultant</t>
        </is>
      </c>
      <c r="D369" t="inlineStr">
        <is>
          <t>Bug #72857: Pakartotino suaktyvinimo priežastis - pakartotinai suaktyvinus procesą įrašoma priežastis (matomas tik pakartotinai suaktyvinus užklausą) - nėra šio lauko ir kažkas su procesu negerai nes neina užbaigti "Išspręsta" būsena negalima. Rodo kad pakartotinai s</t>
        </is>
      </c>
      <c r="E369" t="inlineStr">
        <is>
          <t>Proceso reaktyvinimo testavimas, papildomų procesų įsitraukimo tikrinimas</t>
        </is>
      </c>
      <c r="F369" t="n">
        <v>0.75</v>
      </c>
      <c r="G369" t="inlineStr">
        <is>
          <t>No</t>
        </is>
      </c>
      <c r="H369">
        <f>+WEEKNUM(A369)</f>
        <v/>
      </c>
      <c r="I369">
        <f>+YEAR(A369)</f>
        <v/>
      </c>
    </row>
    <row r="370">
      <c r="A370" s="1" t="n">
        <v>45558</v>
      </c>
      <c r="B370" t="inlineStr">
        <is>
          <t>VilMat</t>
        </is>
      </c>
      <c r="C370" t="inlineStr">
        <is>
          <t>Consultant</t>
        </is>
      </c>
      <c r="D370" t="inlineStr">
        <is>
          <t>Bug #72862: Topic ir subtopic rodo visas temas</t>
        </is>
      </c>
      <c r="E370" t="inlineStr">
        <is>
          <t>Temų ir potėmių atvaizdavimo testavimas</t>
        </is>
      </c>
      <c r="F370" t="n">
        <v>0.75</v>
      </c>
      <c r="G370" t="inlineStr">
        <is>
          <t>No</t>
        </is>
      </c>
      <c r="H370">
        <f>+WEEKNUM(A370)</f>
        <v/>
      </c>
      <c r="I370">
        <f>+YEAR(A370)</f>
        <v/>
      </c>
    </row>
    <row r="371">
      <c r="A371" s="1" t="n">
        <v>45558</v>
      </c>
      <c r="B371" t="inlineStr">
        <is>
          <t>VilMat</t>
        </is>
      </c>
      <c r="C371" t="inlineStr">
        <is>
          <t>Sales</t>
        </is>
      </c>
      <c r="D371" t="inlineStr">
        <is>
          <t>Feature #72952: FR2.1 Papildomi poreikiai</t>
        </is>
      </c>
      <c r="E371" t="inlineStr">
        <is>
          <t>Potencialių modifikacijų planavimas laike</t>
        </is>
      </c>
      <c r="F371" t="n">
        <v>0.75</v>
      </c>
      <c r="G371" t="inlineStr">
        <is>
          <t>No</t>
        </is>
      </c>
      <c r="H371">
        <f>+WEEKNUM(A371)</f>
        <v/>
      </c>
      <c r="I371">
        <f>+YEAR(A371)</f>
        <v/>
      </c>
    </row>
    <row r="372">
      <c r="A372" s="1" t="n">
        <v>45558</v>
      </c>
      <c r="B372" t="inlineStr">
        <is>
          <t>AliAni</t>
        </is>
      </c>
      <c r="C372" t="inlineStr">
        <is>
          <t>Developer</t>
        </is>
      </c>
      <c r="D372" t="inlineStr">
        <is>
          <t>Bug #72827:  Notification about task (Teams) Naujas mygtukas, užduotis lieka vykdoma, "Veiklos būsena" = "Assigned/Perskirta"</t>
        </is>
      </c>
      <c r="E372" t="inlineStr">
        <is>
          <t>Perdarytas flow</t>
        </is>
      </c>
      <c r="F372" t="n">
        <v>5.5</v>
      </c>
      <c r="G372" t="inlineStr">
        <is>
          <t>No</t>
        </is>
      </c>
      <c r="H372">
        <f>+WEEKNUM(A372)</f>
        <v/>
      </c>
      <c r="I372">
        <f>+YEAR(A372)</f>
        <v/>
      </c>
    </row>
    <row r="373">
      <c r="A373" s="1" t="n">
        <v>45555</v>
      </c>
      <c r="B373" t="inlineStr">
        <is>
          <t>VilMat</t>
        </is>
      </c>
      <c r="C373" t="inlineStr">
        <is>
          <t>Consultant</t>
        </is>
      </c>
      <c r="D373" t="inlineStr">
        <is>
          <t>Support #72794: FR3 Testavimo pastebėjimai</t>
        </is>
      </c>
      <c r="E373" t="inlineStr">
        <is>
          <t>Atnaujinti užduotis ir komentarų excelį</t>
        </is>
      </c>
      <c r="F373" t="n">
        <v>0.5</v>
      </c>
      <c r="G373" t="inlineStr">
        <is>
          <t>Yes</t>
        </is>
      </c>
      <c r="H373">
        <f>+WEEKNUM(A373)</f>
        <v/>
      </c>
      <c r="I373">
        <f>+YEAR(A373)</f>
        <v/>
      </c>
    </row>
    <row r="374">
      <c r="A374" s="1" t="n">
        <v>45555</v>
      </c>
      <c r="B374" t="inlineStr">
        <is>
          <t>VilMat</t>
        </is>
      </c>
      <c r="C374" t="inlineStr">
        <is>
          <t>Consultant</t>
        </is>
      </c>
      <c r="D374" t="inlineStr">
        <is>
          <t>Bug #72827:  Notification about task (Teams) Naujas mygtukas, užduotis lieka vykdoma, "Veiklos būsena" = "Assigned/Perskirta"</t>
        </is>
      </c>
      <c r="E374" t="inlineStr">
        <is>
          <t>LTG mygtuko kūrimas adaptive card'e -pasitarimas su Alina</t>
        </is>
      </c>
      <c r="F374" t="n">
        <v>0.25</v>
      </c>
      <c r="G374" t="inlineStr">
        <is>
          <t>No</t>
        </is>
      </c>
      <c r="H374">
        <f>+WEEKNUM(A374)</f>
        <v/>
      </c>
      <c r="I374">
        <f>+YEAR(A374)</f>
        <v/>
      </c>
    </row>
    <row r="375">
      <c r="A375" s="1" t="n">
        <v>45555</v>
      </c>
      <c r="B375" t="inlineStr">
        <is>
          <t>VilMat</t>
        </is>
      </c>
      <c r="C375" t="inlineStr">
        <is>
          <t>Consultant</t>
        </is>
      </c>
      <c r="D375" t="inlineStr">
        <is>
          <t>Bug #72827:  Notification about task (Teams) Naujas mygtukas, užduotis lieka vykdoma, "Veiklos būsena" = "Assigned/Perskirta"</t>
        </is>
      </c>
      <c r="E375" t="inlineStr">
        <is>
          <t>LTG papildomo mygtuko adaptive card'e analizė ir galimas realizavimo būdas pagal in scope patvirtintų darbų excelį</t>
        </is>
      </c>
      <c r="F375" t="n">
        <v>0.5</v>
      </c>
      <c r="G375" t="inlineStr">
        <is>
          <t>No</t>
        </is>
      </c>
      <c r="H375">
        <f>+WEEKNUM(A375)</f>
        <v/>
      </c>
      <c r="I375">
        <f>+YEAR(A375)</f>
        <v/>
      </c>
    </row>
    <row r="376">
      <c r="A376" s="1" t="n">
        <v>45555</v>
      </c>
      <c r="B376" t="inlineStr">
        <is>
          <t>VilMat</t>
        </is>
      </c>
      <c r="C376" t="inlineStr">
        <is>
          <t>Consultant</t>
        </is>
      </c>
      <c r="D376" t="inlineStr">
        <is>
          <t>Support #72794: FR3 Testavimo pastebėjimai</t>
        </is>
      </c>
      <c r="E376" t="inlineStr">
        <is>
          <t>LTG pasitarimas su Gyčiu dėl teams žinučių išorės vartotojams</t>
        </is>
      </c>
      <c r="F376" t="n">
        <v>0.25</v>
      </c>
      <c r="G376" t="inlineStr">
        <is>
          <t>Yes</t>
        </is>
      </c>
      <c r="H376">
        <f>+WEEKNUM(A376)</f>
        <v/>
      </c>
      <c r="I376">
        <f>+YEAR(A376)</f>
        <v/>
      </c>
    </row>
    <row r="377">
      <c r="A377" s="1" t="n">
        <v>45555</v>
      </c>
      <c r="B377" t="inlineStr">
        <is>
          <t>VilMat</t>
        </is>
      </c>
      <c r="C377" t="inlineStr">
        <is>
          <t>Consultant</t>
        </is>
      </c>
      <c r="D377" t="inlineStr">
        <is>
          <t>Support #72794: FR3 Testavimo pastebėjimai</t>
        </is>
      </c>
      <c r="E377" t="inlineStr">
        <is>
          <t>LTG flow operacijų korekcijos siunčiamiems tekstams outlooku ir adaptive cardu</t>
        </is>
      </c>
      <c r="F377" t="n">
        <v>1</v>
      </c>
      <c r="G377" t="inlineStr">
        <is>
          <t>Yes</t>
        </is>
      </c>
      <c r="H377">
        <f>+WEEKNUM(A377)</f>
        <v/>
      </c>
      <c r="I377">
        <f>+YEAR(A377)</f>
        <v/>
      </c>
    </row>
    <row r="378">
      <c r="A378" s="1" t="n">
        <v>45555</v>
      </c>
      <c r="B378" t="inlineStr">
        <is>
          <t>VilMat</t>
        </is>
      </c>
      <c r="C378" t="inlineStr">
        <is>
          <t>Consultant</t>
        </is>
      </c>
      <c r="D378" t="inlineStr">
        <is>
          <t>Support #72794: FR3 Testavimo pastebėjimai</t>
        </is>
      </c>
      <c r="E378" t="inlineStr">
        <is>
          <t>LTG užduočių atnaujinimas su naujausia informacija, statusu</t>
        </is>
      </c>
      <c r="F378" t="n">
        <v>1</v>
      </c>
      <c r="G378" t="inlineStr">
        <is>
          <t>Yes</t>
        </is>
      </c>
      <c r="H378">
        <f>+WEEKNUM(A378)</f>
        <v/>
      </c>
      <c r="I378">
        <f>+YEAR(A378)</f>
        <v/>
      </c>
    </row>
    <row r="379">
      <c r="A379" s="1" t="n">
        <v>45555</v>
      </c>
      <c r="B379" t="inlineStr">
        <is>
          <t>VilMat</t>
        </is>
      </c>
      <c r="C379" t="inlineStr">
        <is>
          <t>Consultant</t>
        </is>
      </c>
      <c r="D379" t="inlineStr">
        <is>
          <t>Feature #72952: FR2.1 Papildomi poreikiai</t>
        </is>
      </c>
      <c r="E379" t="inlineStr">
        <is>
          <t>LTG feature užduočių vertinimas</t>
        </is>
      </c>
      <c r="F379" t="n">
        <v>1</v>
      </c>
      <c r="G379" t="inlineStr">
        <is>
          <t>Yes</t>
        </is>
      </c>
      <c r="H379">
        <f>+WEEKNUM(A379)</f>
        <v/>
      </c>
      <c r="I379">
        <f>+YEAR(A379)</f>
        <v/>
      </c>
    </row>
    <row r="380">
      <c r="A380" s="1" t="n">
        <v>45555</v>
      </c>
      <c r="B380" t="inlineStr">
        <is>
          <t>AliAni</t>
        </is>
      </c>
      <c r="C380" t="inlineStr">
        <is>
          <t>Developer</t>
        </is>
      </c>
      <c r="D380" t="inlineStr">
        <is>
          <t>Bug #72827:  Notification about task (Teams) Naujas mygtukas, užduotis lieka vykdoma, "Veiklos būsena" = "Assigned/Perskirta"</t>
        </is>
      </c>
      <c r="E380" t="inlineStr">
        <is>
          <t>Flow pertvarkymas. Pridėti mygtuką į adaptive card perskirti</t>
        </is>
      </c>
      <c r="F380" t="n">
        <v>0.5</v>
      </c>
      <c r="G380" t="inlineStr">
        <is>
          <t>No</t>
        </is>
      </c>
      <c r="H380">
        <f>+WEEKNUM(A380)</f>
        <v/>
      </c>
      <c r="I380">
        <f>+YEAR(A380)</f>
        <v/>
      </c>
    </row>
    <row r="381">
      <c r="A381" s="1" t="n">
        <v>45555</v>
      </c>
      <c r="B381" t="inlineStr">
        <is>
          <t>AliAni</t>
        </is>
      </c>
      <c r="C381" t="inlineStr">
        <is>
          <t>Developer</t>
        </is>
      </c>
      <c r="D381" t="inlineStr">
        <is>
          <t>Bug #72817: Approval (Teams) Nefiksuojamas paskutinis pasikeitimas</t>
        </is>
      </c>
      <c r="F381" t="n">
        <v>0.5</v>
      </c>
      <c r="G381" t="inlineStr">
        <is>
          <t>No</t>
        </is>
      </c>
      <c r="H381">
        <f>+WEEKNUM(A381)</f>
        <v/>
      </c>
      <c r="I381">
        <f>+YEAR(A381)</f>
        <v/>
      </c>
    </row>
    <row r="382">
      <c r="A382" s="1" t="n">
        <v>45555</v>
      </c>
      <c r="B382" t="inlineStr">
        <is>
          <t>AliAni</t>
        </is>
      </c>
      <c r="C382" t="inlineStr">
        <is>
          <t>Developer</t>
        </is>
      </c>
      <c r="D382" t="inlineStr">
        <is>
          <t>Bug #72481: FR3-240906-015 Kliento atliktų testavimo rezultatų taisymams skirto laiko fiksavimas</t>
        </is>
      </c>
      <c r="E382" t="inlineStr">
        <is>
          <t>Convert to case testavimas ir aptvarkymas. Pritaikyta formą prie PhoneCall ir Task entičio. Aptvarlkytas resursas Convert to Case HTML formą</t>
        </is>
      </c>
      <c r="F382" t="n">
        <v>1.5</v>
      </c>
      <c r="G382" t="inlineStr">
        <is>
          <t>No</t>
        </is>
      </c>
      <c r="H382">
        <f>+WEEKNUM(A382)</f>
        <v/>
      </c>
      <c r="I382">
        <f>+YEAR(A382)</f>
        <v/>
      </c>
    </row>
    <row r="383">
      <c r="A383" s="1" t="n">
        <v>45555</v>
      </c>
      <c r="B383" t="inlineStr">
        <is>
          <t>AliAni</t>
        </is>
      </c>
      <c r="C383" t="inlineStr">
        <is>
          <t>Developer</t>
        </is>
      </c>
      <c r="D383" t="inlineStr">
        <is>
          <t>Bug #72832:  Notification about task (Teams) Nefiksuojamas paskutinis pasikeitimas</t>
        </is>
      </c>
      <c r="E383" t="inlineStr">
        <is>
          <t xml:space="preserve">Aptvarkytas Flow Task Teams Adaptive Cards - No contact </t>
        </is>
      </c>
      <c r="F383" t="n">
        <v>0.5</v>
      </c>
      <c r="G383" t="inlineStr">
        <is>
          <t>No</t>
        </is>
      </c>
      <c r="H383">
        <f>+WEEKNUM(A383)</f>
        <v/>
      </c>
      <c r="I383">
        <f>+YEAR(A383)</f>
        <v/>
      </c>
    </row>
    <row r="384">
      <c r="A384" s="1" t="n">
        <v>45555</v>
      </c>
      <c r="B384" t="inlineStr">
        <is>
          <t>AliAni</t>
        </is>
      </c>
      <c r="C384" t="inlineStr">
        <is>
          <t>Developer</t>
        </is>
      </c>
      <c r="D384" t="inlineStr">
        <is>
          <t>Bug #72827:  Notification about task (Teams) Naujas mygtukas, užduotis lieka vykdoma, "Veiklos būsena" = "Assigned/Perskirta"</t>
        </is>
      </c>
      <c r="E384" t="inlineStr">
        <is>
          <t>Analizė, testavimas. Aptvarkytas flow</t>
        </is>
      </c>
      <c r="F384" t="n">
        <v>0.5</v>
      </c>
      <c r="G384" t="inlineStr">
        <is>
          <t>No</t>
        </is>
      </c>
      <c r="H384">
        <f>+WEEKNUM(A384)</f>
        <v/>
      </c>
      <c r="I384">
        <f>+YEAR(A384)</f>
        <v/>
      </c>
    </row>
    <row r="385">
      <c r="A385" s="1" t="n">
        <v>45554</v>
      </c>
      <c r="B385" t="inlineStr">
        <is>
          <t>VilMat</t>
        </is>
      </c>
      <c r="C385" t="inlineStr">
        <is>
          <t>Consultant</t>
        </is>
      </c>
      <c r="D385" t="inlineStr">
        <is>
          <t>Support #72794: FR3 Testavimo pastebėjimai</t>
        </is>
      </c>
      <c r="E385" t="inlineStr">
        <is>
          <t>Flow, kuris siunčia adaptive cards ir uždarymo/patvirtinimo laiškus peržiūra bei korekcijos</t>
        </is>
      </c>
      <c r="F385" t="n">
        <v>0.75</v>
      </c>
      <c r="G385" t="inlineStr">
        <is>
          <t>Yes</t>
        </is>
      </c>
      <c r="H385">
        <f>+WEEKNUM(A385)</f>
        <v/>
      </c>
      <c r="I385">
        <f>+YEAR(A385)</f>
        <v/>
      </c>
    </row>
    <row r="386">
      <c r="A386" s="1" t="n">
        <v>45554</v>
      </c>
      <c r="B386" t="inlineStr">
        <is>
          <t>VilMat</t>
        </is>
      </c>
      <c r="C386" t="inlineStr">
        <is>
          <t>Consultant</t>
        </is>
      </c>
      <c r="D386" t="inlineStr">
        <is>
          <t>Support #72794: FR3 Testavimo pastebėjimai</t>
        </is>
      </c>
      <c r="E386" t="inlineStr">
        <is>
          <t>Užduočių peržiūra, atnaujinimas</t>
        </is>
      </c>
      <c r="F386" t="n">
        <v>0.75</v>
      </c>
      <c r="G386" t="inlineStr">
        <is>
          <t>Yes</t>
        </is>
      </c>
      <c r="H386">
        <f>+WEEKNUM(A386)</f>
        <v/>
      </c>
      <c r="I386">
        <f>+YEAR(A386)</f>
        <v/>
      </c>
    </row>
    <row r="387">
      <c r="A387" s="1" t="n">
        <v>45553</v>
      </c>
      <c r="B387" t="inlineStr">
        <is>
          <t>VilMat</t>
        </is>
      </c>
      <c r="C387" t="inlineStr">
        <is>
          <t>Consultant</t>
        </is>
      </c>
      <c r="D387" t="inlineStr">
        <is>
          <t>Support #72794: FR3 Testavimo pastebėjimai</t>
        </is>
      </c>
      <c r="E387" t="inlineStr">
        <is>
          <t>Susitikimas su klientu (2nd meet) - perėjimas per excel dokumentus, klausimų gryninimas ir bug'ų identifikavimas</t>
        </is>
      </c>
      <c r="F387" t="n">
        <v>1.25</v>
      </c>
      <c r="G387" t="inlineStr">
        <is>
          <t>Yes</t>
        </is>
      </c>
      <c r="H387">
        <f>+WEEKNUM(A387)</f>
        <v/>
      </c>
      <c r="I387">
        <f>+YEAR(A387)</f>
        <v/>
      </c>
    </row>
    <row r="388">
      <c r="A388" s="1" t="n">
        <v>45553</v>
      </c>
      <c r="B388" t="inlineStr">
        <is>
          <t>VilMat</t>
        </is>
      </c>
      <c r="C388" t="inlineStr">
        <is>
          <t>Consultant</t>
        </is>
      </c>
      <c r="D388" t="inlineStr">
        <is>
          <t>Support #72794: FR3 Testavimo pastebėjimai</t>
        </is>
      </c>
      <c r="E388" t="inlineStr">
        <is>
          <t>Alinos atliktų korekcijų flow'ams ir workflow'ams bei susijusiems adaptive card - tikrinimas ir testavimas</t>
        </is>
      </c>
      <c r="F388" t="n">
        <v>1.75</v>
      </c>
      <c r="G388" t="inlineStr">
        <is>
          <t>Yes</t>
        </is>
      </c>
      <c r="H388">
        <f>+WEEKNUM(A388)</f>
        <v/>
      </c>
      <c r="I388">
        <f>+YEAR(A388)</f>
        <v/>
      </c>
    </row>
    <row r="389">
      <c r="A389" s="1" t="n">
        <v>45553</v>
      </c>
      <c r="B389" t="inlineStr">
        <is>
          <t>VilMat</t>
        </is>
      </c>
      <c r="C389" t="inlineStr">
        <is>
          <t>Consultant</t>
        </is>
      </c>
      <c r="D389" t="inlineStr">
        <is>
          <t>Support #72696: FR2-20240914 - 015 Testavimas</t>
        </is>
      </c>
      <c r="E389" t="inlineStr">
        <is>
          <t>Komentarų excel dokumento atnaujinimas vertinant, kas bug, kas feature</t>
        </is>
      </c>
      <c r="F389" t="n">
        <v>0.75</v>
      </c>
      <c r="G389" t="inlineStr">
        <is>
          <t>Yes</t>
        </is>
      </c>
      <c r="H389">
        <f>+WEEKNUM(A389)</f>
        <v/>
      </c>
      <c r="I389">
        <f>+YEAR(A389)</f>
        <v/>
      </c>
    </row>
    <row r="390">
      <c r="A390" s="1" t="n">
        <v>45553</v>
      </c>
      <c r="B390" t="inlineStr">
        <is>
          <t>VilMat</t>
        </is>
      </c>
      <c r="C390" t="inlineStr">
        <is>
          <t>Consultant</t>
        </is>
      </c>
      <c r="D390" t="inlineStr">
        <is>
          <t>Support #72696: FR2-20240914 - 015 Testavimas</t>
        </is>
      </c>
      <c r="E390" t="inlineStr">
        <is>
          <t xml:space="preserve">Workflowų ir flow'ų testavimas susijęs su užklausų moduliu ir jo įrašų atnaujinimu </t>
        </is>
      </c>
      <c r="F390" t="n">
        <v>0.75</v>
      </c>
      <c r="G390" t="inlineStr">
        <is>
          <t>Yes</t>
        </is>
      </c>
      <c r="H390">
        <f>+WEEKNUM(A390)</f>
        <v/>
      </c>
      <c r="I390">
        <f>+YEAR(A390)</f>
        <v/>
      </c>
    </row>
    <row r="391">
      <c r="A391" s="1" t="n">
        <v>45553</v>
      </c>
      <c r="B391" t="inlineStr">
        <is>
          <t>VilMat</t>
        </is>
      </c>
      <c r="C391" t="inlineStr">
        <is>
          <t>Consultant</t>
        </is>
      </c>
      <c r="D391" t="inlineStr">
        <is>
          <t>Support #72794: FR3 Testavimo pastebėjimai</t>
        </is>
      </c>
      <c r="E391" t="inlineStr">
        <is>
          <t>Užduočių flow'ų ir workflow'ų testavimas</t>
        </is>
      </c>
      <c r="F391" t="n">
        <v>0.75</v>
      </c>
      <c r="G391" t="inlineStr">
        <is>
          <t>Yes</t>
        </is>
      </c>
      <c r="H391">
        <f>+WEEKNUM(A391)</f>
        <v/>
      </c>
      <c r="I391">
        <f>+YEAR(A391)</f>
        <v/>
      </c>
    </row>
    <row r="392">
      <c r="A392" s="1" t="n">
        <v>45552</v>
      </c>
      <c r="B392" t="inlineStr">
        <is>
          <t>AliAni</t>
        </is>
      </c>
      <c r="C392" t="inlineStr">
        <is>
          <t>Developer</t>
        </is>
      </c>
      <c r="D392" t="inlineStr">
        <is>
          <t>Support #72794: FR3 Testavimo pastebėjimai</t>
        </is>
      </c>
      <c r="E392" t="inlineStr">
        <is>
          <t>Tvarkymai ir testavimai</t>
        </is>
      </c>
      <c r="F392" t="n">
        <v>4.5</v>
      </c>
      <c r="G392" t="inlineStr">
        <is>
          <t>Yes</t>
        </is>
      </c>
      <c r="H392">
        <f>+WEEKNUM(A392)</f>
        <v/>
      </c>
      <c r="I392">
        <f>+YEAR(A392)</f>
        <v/>
      </c>
    </row>
    <row r="393">
      <c r="A393" s="1" t="n">
        <v>45552</v>
      </c>
      <c r="B393" t="inlineStr">
        <is>
          <t>VilMat</t>
        </is>
      </c>
      <c r="C393" t="inlineStr">
        <is>
          <t>Consultant</t>
        </is>
      </c>
      <c r="D393" t="inlineStr">
        <is>
          <t>Support #72696: FR2-20240914 - 015 Testavimas</t>
        </is>
      </c>
      <c r="E393" t="inlineStr">
        <is>
          <t>Kliento pateikto excelio komentarų peržiūra, vertinimas kur bug, kur feature. Komentarų fiksavimasis, funkcijų peržiūra</t>
        </is>
      </c>
      <c r="F393" t="n">
        <v>3.25</v>
      </c>
      <c r="G393" t="inlineStr">
        <is>
          <t>Yes</t>
        </is>
      </c>
      <c r="H393">
        <f>+WEEKNUM(A393)</f>
        <v/>
      </c>
      <c r="I393">
        <f>+YEAR(A393)</f>
        <v/>
      </c>
    </row>
    <row r="394">
      <c r="A394" s="1" t="n">
        <v>45552</v>
      </c>
      <c r="B394" t="inlineStr">
        <is>
          <t>VilMat</t>
        </is>
      </c>
      <c r="C394" t="inlineStr">
        <is>
          <t>Project management</t>
        </is>
      </c>
      <c r="D394" t="inlineStr">
        <is>
          <t>Support #65707: Administravimas ir darbų koordinavimas</t>
        </is>
      </c>
      <c r="E394" t="inlineStr">
        <is>
          <t>Skambutis su Vladu, dėl patvirtintų darbų aktavimosi ir kaip buvo teikti vertinimai</t>
        </is>
      </c>
      <c r="F394" t="n">
        <v>0.25</v>
      </c>
      <c r="G394" t="inlineStr">
        <is>
          <t>Yes</t>
        </is>
      </c>
      <c r="H394">
        <f>+WEEKNUM(A394)</f>
        <v/>
      </c>
      <c r="I394">
        <f>+YEAR(A394)</f>
        <v/>
      </c>
    </row>
    <row r="395">
      <c r="A395" s="1" t="n">
        <v>45552</v>
      </c>
      <c r="B395" t="inlineStr">
        <is>
          <t>VilMat</t>
        </is>
      </c>
      <c r="C395" t="inlineStr">
        <is>
          <t>Project management</t>
        </is>
      </c>
      <c r="D395" t="inlineStr">
        <is>
          <t>Support #65707: Administravimas ir darbų koordinavimas</t>
        </is>
      </c>
      <c r="E395" t="inlineStr">
        <is>
          <t>Update su Ugniumi dėl LTG darbų ir planuojamo susitikimo su klientu</t>
        </is>
      </c>
      <c r="F395" t="n">
        <v>0.25</v>
      </c>
      <c r="G395" t="inlineStr">
        <is>
          <t>Yes</t>
        </is>
      </c>
      <c r="H395">
        <f>+WEEKNUM(A395)</f>
        <v/>
      </c>
      <c r="I395">
        <f>+YEAR(A395)</f>
        <v/>
      </c>
    </row>
    <row r="396">
      <c r="A396" s="1" t="n">
        <v>45551</v>
      </c>
      <c r="B396" t="inlineStr">
        <is>
          <t>VilMat</t>
        </is>
      </c>
      <c r="C396" t="inlineStr">
        <is>
          <t>Consultant</t>
        </is>
      </c>
      <c r="D396" t="inlineStr">
        <is>
          <t>Support #72794: FR3 Testavimo pastebėjimai</t>
        </is>
      </c>
      <c r="E396" t="inlineStr">
        <is>
          <t>Užduočių modifikacijos testavimai, aptiktų korekcijų klaidų išsamūs komentarai Alinai, flow'ų korekcijos, kur galiu pats, tekstų atnaujinimas</t>
        </is>
      </c>
      <c r="F396" t="n">
        <v>5</v>
      </c>
      <c r="G396" t="inlineStr">
        <is>
          <t>Yes</t>
        </is>
      </c>
      <c r="H396">
        <f>+WEEKNUM(A396)</f>
        <v/>
      </c>
      <c r="I396">
        <f>+YEAR(A396)</f>
        <v/>
      </c>
    </row>
    <row r="397">
      <c r="A397" s="1" t="n">
        <v>45551</v>
      </c>
      <c r="B397" t="inlineStr">
        <is>
          <t>VilMat</t>
        </is>
      </c>
      <c r="C397" t="inlineStr">
        <is>
          <t>Consultant</t>
        </is>
      </c>
      <c r="D397" t="inlineStr">
        <is>
          <t>Support #69766: FR2-20240601-003 Verslo taisyklių kūrimas</t>
        </is>
      </c>
      <c r="E397" t="inlineStr">
        <is>
          <t>Vartotojų administravimo ir įrašų matymo valdymo testavimo darbai pagal gautus kliento komentarus(excel)</t>
        </is>
      </c>
      <c r="F397" t="n">
        <v>2</v>
      </c>
      <c r="G397" t="inlineStr">
        <is>
          <t>Yes</t>
        </is>
      </c>
      <c r="H397">
        <f>+WEEKNUM(A397)</f>
        <v/>
      </c>
      <c r="I397">
        <f>+YEAR(A397)</f>
        <v/>
      </c>
    </row>
    <row r="398">
      <c r="A398" s="1" t="n">
        <v>45548</v>
      </c>
      <c r="B398" t="inlineStr">
        <is>
          <t>AliAni</t>
        </is>
      </c>
      <c r="C398" t="inlineStr">
        <is>
          <t>Developer</t>
        </is>
      </c>
      <c r="D398" t="inlineStr">
        <is>
          <t>Support #72794: FR3 Testavimo pastebėjimai</t>
        </is>
      </c>
      <c r="E398" t="inlineStr">
        <is>
          <t>Tvarkymo darbai</t>
        </is>
      </c>
      <c r="F398" t="n">
        <v>4.45</v>
      </c>
      <c r="G398" t="inlineStr">
        <is>
          <t>Yes</t>
        </is>
      </c>
      <c r="H398">
        <f>+WEEKNUM(A398)</f>
        <v/>
      </c>
      <c r="I398">
        <f>+YEAR(A398)</f>
        <v/>
      </c>
    </row>
    <row r="399">
      <c r="A399" s="1" t="n">
        <v>45548</v>
      </c>
      <c r="B399" t="inlineStr">
        <is>
          <t>VilMat</t>
        </is>
      </c>
      <c r="C399" t="inlineStr">
        <is>
          <t>Consultant</t>
        </is>
      </c>
      <c r="D399" t="inlineStr">
        <is>
          <t>Support #72794: FR3 Testavimo pastebėjimai</t>
        </is>
      </c>
      <c r="E399" t="inlineStr">
        <is>
          <t>LTG - Priority laukelio perkūrimas ir priklausomybių konfigūravimas; Flows siunčiamų laiškų tekstų korekcijos, papildomos informacijos įterpimas; Flows siunčiamų teams messages tekstų korekcijos; Task business rules perdarymai, korekcijos; Adaptive cards tekstų korekcijos; Lietuvių vertimų korekcijos; Funkcijų Testavimo darbai;</t>
        </is>
      </c>
      <c r="F399" t="n">
        <v>7.25</v>
      </c>
      <c r="G399" t="inlineStr">
        <is>
          <t>Yes</t>
        </is>
      </c>
      <c r="H399">
        <f>+WEEKNUM(A399)</f>
        <v/>
      </c>
      <c r="I399">
        <f>+YEAR(A399)</f>
        <v/>
      </c>
    </row>
    <row r="400">
      <c r="A400" s="1" t="n">
        <v>45547</v>
      </c>
      <c r="B400" t="inlineStr">
        <is>
          <t>VilMat</t>
        </is>
      </c>
      <c r="C400" t="inlineStr">
        <is>
          <t>Consultant</t>
        </is>
      </c>
      <c r="D400" t="inlineStr">
        <is>
          <t>Support #72794: FR3 Testavimo pastebėjimai</t>
        </is>
      </c>
      <c r="E400" t="inlineStr">
        <is>
          <t>LTG - flows koregavimas, išjungimas, workflow sukūrimas vietoje flow, testavimas gaunamų pranešimų, pranešimų tekstų korekcijos</t>
        </is>
      </c>
      <c r="F400" t="n">
        <v>5.5</v>
      </c>
      <c r="G400" t="inlineStr">
        <is>
          <t>Yes</t>
        </is>
      </c>
      <c r="H400">
        <f>+WEEKNUM(A400)</f>
        <v/>
      </c>
      <c r="I400">
        <f>+YEAR(A400)</f>
        <v/>
      </c>
    </row>
    <row r="401">
      <c r="A401" s="1" t="n">
        <v>45546</v>
      </c>
      <c r="B401" t="inlineStr">
        <is>
          <t>VilMat</t>
        </is>
      </c>
      <c r="C401" t="inlineStr">
        <is>
          <t>Consultant</t>
        </is>
      </c>
      <c r="D401" t="inlineStr">
        <is>
          <t>Support #72794: FR3 Testavimo pastebėjimai</t>
        </is>
      </c>
      <c r="E401" t="inlineStr">
        <is>
          <t>Testavimai, workflow/flow peržiūros ir keitimų/korekcijų darbai, komentarai į excel failą</t>
        </is>
      </c>
      <c r="F401" t="n">
        <v>6</v>
      </c>
      <c r="G401" t="inlineStr">
        <is>
          <t>Yes</t>
        </is>
      </c>
      <c r="H401">
        <f>+WEEKNUM(A401)</f>
        <v/>
      </c>
      <c r="I401">
        <f>+YEAR(A401)</f>
        <v/>
      </c>
    </row>
    <row r="402">
      <c r="A402" s="1" t="n">
        <v>45546</v>
      </c>
      <c r="B402" t="inlineStr">
        <is>
          <t>VilMat</t>
        </is>
      </c>
      <c r="C402" t="inlineStr">
        <is>
          <t>Project management</t>
        </is>
      </c>
      <c r="D402" t="inlineStr">
        <is>
          <t>Feature #68573: FR2 Užklausų procesas</t>
        </is>
      </c>
      <c r="E402" t="inlineStr">
        <is>
          <t>Papildomų dokumentų prisegimas</t>
        </is>
      </c>
      <c r="F402" t="n">
        <v>0.25</v>
      </c>
      <c r="G402" t="inlineStr">
        <is>
          <t>Yes</t>
        </is>
      </c>
      <c r="H402">
        <f>+WEEKNUM(A402)</f>
        <v/>
      </c>
      <c r="I402">
        <f>+YEAR(A402)</f>
        <v/>
      </c>
    </row>
    <row r="403">
      <c r="A403" s="1" t="n">
        <v>45546</v>
      </c>
      <c r="B403" t="inlineStr">
        <is>
          <t>VilMat</t>
        </is>
      </c>
      <c r="C403" t="inlineStr">
        <is>
          <t>Project management</t>
        </is>
      </c>
      <c r="D403" t="inlineStr">
        <is>
          <t>Support #68773: FR3 Užduočių funkcionalumo pakeitimai</t>
        </is>
      </c>
      <c r="E403" t="inlineStr">
        <is>
          <t>Papildomų dokumentų prisegimas</t>
        </is>
      </c>
      <c r="F403" t="n">
        <v>0.25</v>
      </c>
      <c r="G403" t="inlineStr">
        <is>
          <t>Yes</t>
        </is>
      </c>
      <c r="H403">
        <f>+WEEKNUM(A403)</f>
        <v/>
      </c>
      <c r="I403">
        <f>+YEAR(A403)</f>
        <v/>
      </c>
    </row>
    <row r="404">
      <c r="A404" s="1" t="n">
        <v>45546</v>
      </c>
      <c r="B404" t="inlineStr">
        <is>
          <t>VilMat</t>
        </is>
      </c>
      <c r="C404" t="inlineStr">
        <is>
          <t>Project management</t>
        </is>
      </c>
      <c r="D404" t="inlineStr">
        <is>
          <t>Support #65488: FR1 Subject/Kreipinio tipas skaidymas į du atskirus laukus</t>
        </is>
      </c>
      <c r="E404" t="inlineStr">
        <is>
          <t>Papildomų dokumentų prisegimas</t>
        </is>
      </c>
      <c r="F404" t="n">
        <v>0.25</v>
      </c>
      <c r="G404" t="inlineStr">
        <is>
          <t>Yes</t>
        </is>
      </c>
      <c r="H404">
        <f>+WEEKNUM(A404)</f>
        <v/>
      </c>
      <c r="I404">
        <f>+YEAR(A404)</f>
        <v/>
      </c>
    </row>
    <row r="405">
      <c r="A405" s="1" t="n">
        <v>45545</v>
      </c>
      <c r="B405" t="inlineStr">
        <is>
          <t>VilMat</t>
        </is>
      </c>
      <c r="C405" t="inlineStr">
        <is>
          <t>Consultant</t>
        </is>
      </c>
      <c r="D405" t="inlineStr">
        <is>
          <t>Feature #68573: FR2 Užklausų procesas</t>
        </is>
      </c>
      <c r="E405" t="inlineStr">
        <is>
          <t>Užduočių statusų atnaujinimas remiantis paskutine informacija</t>
        </is>
      </c>
      <c r="F405" t="n">
        <v>0.5</v>
      </c>
      <c r="G405" t="inlineStr">
        <is>
          <t>Yes</t>
        </is>
      </c>
      <c r="H405">
        <f>+WEEKNUM(A405)</f>
        <v/>
      </c>
      <c r="I405">
        <f>+YEAR(A405)</f>
        <v/>
      </c>
    </row>
    <row r="406">
      <c r="A406" s="1" t="n">
        <v>45545</v>
      </c>
      <c r="B406" t="inlineStr">
        <is>
          <t>VilMat</t>
        </is>
      </c>
      <c r="C406" t="inlineStr">
        <is>
          <t>Consultant</t>
        </is>
      </c>
      <c r="D406" t="inlineStr">
        <is>
          <t>Support #68773: FR3 Užduočių funkcionalumo pakeitimai</t>
        </is>
      </c>
      <c r="E406" t="inlineStr">
        <is>
          <t>Užduočių statusų atnaujinimas remiantis paskutine informacija iš gauto kliento komentarų excelio</t>
        </is>
      </c>
      <c r="F406" t="n">
        <v>1</v>
      </c>
      <c r="G406" t="inlineStr">
        <is>
          <t>Yes</t>
        </is>
      </c>
      <c r="H406">
        <f>+WEEKNUM(A406)</f>
        <v/>
      </c>
      <c r="I406">
        <f>+YEAR(A406)</f>
        <v/>
      </c>
    </row>
    <row r="407">
      <c r="A407" s="1" t="n">
        <v>45545</v>
      </c>
      <c r="B407" t="inlineStr">
        <is>
          <t>VilMat</t>
        </is>
      </c>
      <c r="C407" t="inlineStr">
        <is>
          <t>Consultant</t>
        </is>
      </c>
      <c r="D407" t="inlineStr">
        <is>
          <t>Support #65488: FR1 Subject/Kreipinio tipas skaidymas į du atskirus laukus</t>
        </is>
      </c>
      <c r="E407" t="inlineStr">
        <is>
          <t>Užduočių statusų atnaujinimas remiantis paskutine informacija</t>
        </is>
      </c>
      <c r="F407" t="n">
        <v>0.5</v>
      </c>
      <c r="G407" t="inlineStr">
        <is>
          <t>Yes</t>
        </is>
      </c>
      <c r="H407">
        <f>+WEEKNUM(A407)</f>
        <v/>
      </c>
      <c r="I407">
        <f>+YEAR(A407)</f>
        <v/>
      </c>
    </row>
    <row r="408">
      <c r="A408" s="1" t="n">
        <v>45541</v>
      </c>
      <c r="B408" t="inlineStr">
        <is>
          <t>VilMat</t>
        </is>
      </c>
      <c r="C408" t="inlineStr">
        <is>
          <t>Consultant</t>
        </is>
      </c>
      <c r="D408" t="inlineStr">
        <is>
          <t>Support #69762: FR2-20240601-014 Techninio projektavimo dokumento paruošimas anglų kalba.</t>
        </is>
      </c>
      <c r="E408" t="inlineStr">
        <is>
          <t>Techninės dokumentacijos ruošimas, informacija klientui el.paštu, galutinio varianto pridavimas</t>
        </is>
      </c>
      <c r="F408" t="n">
        <v>1.25</v>
      </c>
      <c r="G408" t="inlineStr">
        <is>
          <t>Yes</t>
        </is>
      </c>
      <c r="H408">
        <f>+WEEKNUM(A408)</f>
        <v/>
      </c>
      <c r="I408">
        <f>+YEAR(A408)</f>
        <v/>
      </c>
    </row>
    <row r="409">
      <c r="A409" s="1" t="n">
        <v>45540</v>
      </c>
      <c r="B409" t="inlineStr">
        <is>
          <t>VilMat</t>
        </is>
      </c>
      <c r="C409" t="inlineStr">
        <is>
          <t>Consultant</t>
        </is>
      </c>
      <c r="D409" t="inlineStr">
        <is>
          <t>Support #69789: FR3-240601-013 Techninio projektavimo dokumento paruošimas</t>
        </is>
      </c>
      <c r="E409" t="inlineStr">
        <is>
          <t>Techninio dokumento papildymai, korekcijos</t>
        </is>
      </c>
      <c r="F409" t="n">
        <v>1</v>
      </c>
      <c r="G409" t="inlineStr">
        <is>
          <t>Yes</t>
        </is>
      </c>
      <c r="H409">
        <f>+WEEKNUM(A409)</f>
        <v/>
      </c>
      <c r="I409">
        <f>+YEAR(A409)</f>
        <v/>
      </c>
    </row>
    <row r="410">
      <c r="A410" s="1" t="n">
        <v>45540</v>
      </c>
      <c r="B410" t="inlineStr">
        <is>
          <t>VilMat</t>
        </is>
      </c>
      <c r="C410" t="inlineStr">
        <is>
          <t>Consultant</t>
        </is>
      </c>
      <c r="D410" t="inlineStr">
        <is>
          <t>Support #69789: FR3-240601-013 Techninio projektavimo dokumento paruošimas</t>
        </is>
      </c>
      <c r="E410" t="inlineStr">
        <is>
          <t>Techninės dokumentacijos ruošimas, informacija klientui el.paštu</t>
        </is>
      </c>
      <c r="F410" t="n">
        <v>2</v>
      </c>
      <c r="G410" t="inlineStr">
        <is>
          <t>Yes</t>
        </is>
      </c>
      <c r="H410">
        <f>+WEEKNUM(A410)</f>
        <v/>
      </c>
      <c r="I410">
        <f>+YEAR(A410)</f>
        <v/>
      </c>
    </row>
    <row r="411">
      <c r="A411" s="1" t="n">
        <v>45540</v>
      </c>
      <c r="B411" t="inlineStr">
        <is>
          <t>VilMat</t>
        </is>
      </c>
      <c r="C411" t="inlineStr">
        <is>
          <t>Consultant</t>
        </is>
      </c>
      <c r="D411" t="inlineStr">
        <is>
          <t>Support #69788: FR3-240601-012 Galutinis vartotojo vadovas</t>
        </is>
      </c>
      <c r="E411" t="inlineStr">
        <is>
          <t>Užduočių funkcionalumo instrukcijų ruošimas, informacija klientui</t>
        </is>
      </c>
      <c r="F411" t="n">
        <v>2.5</v>
      </c>
      <c r="G411" t="inlineStr">
        <is>
          <t>Yes</t>
        </is>
      </c>
      <c r="H411">
        <f>+WEEKNUM(A411)</f>
        <v/>
      </c>
      <c r="I411">
        <f>+YEAR(A411)</f>
        <v/>
      </c>
    </row>
    <row r="412">
      <c r="A412" s="1" t="n">
        <v>45539</v>
      </c>
      <c r="B412" t="inlineStr">
        <is>
          <t>VilMat</t>
        </is>
      </c>
      <c r="C412" t="inlineStr">
        <is>
          <t>Consultant</t>
        </is>
      </c>
      <c r="D412" t="inlineStr">
        <is>
          <t>Support #69788: FR3-240601-012 Galutinis vartotojo vadovas</t>
        </is>
      </c>
      <c r="E412" t="inlineStr">
        <is>
          <t>Overtime - Instrukcijų ruošimas</t>
        </is>
      </c>
      <c r="F412" t="n">
        <v>2</v>
      </c>
      <c r="G412" t="inlineStr">
        <is>
          <t>Yes</t>
        </is>
      </c>
      <c r="H412">
        <f>+WEEKNUM(A412)</f>
        <v/>
      </c>
      <c r="I412">
        <f>+YEAR(A412)</f>
        <v/>
      </c>
    </row>
    <row r="413">
      <c r="A413" s="1" t="n">
        <v>45539</v>
      </c>
      <c r="B413" t="inlineStr">
        <is>
          <t>VilMat</t>
        </is>
      </c>
      <c r="C413" t="inlineStr">
        <is>
          <t>Consultant</t>
        </is>
      </c>
      <c r="D413" t="inlineStr">
        <is>
          <t>Support #69776: FR2-20240601-013 Galutinis vartotojo vadovas</t>
        </is>
      </c>
      <c r="E413" t="inlineStr">
        <is>
          <t>Overtime - Instrukcijų ruošimas</t>
        </is>
      </c>
      <c r="F413" t="n">
        <v>2</v>
      </c>
      <c r="G413" t="inlineStr">
        <is>
          <t>Yes</t>
        </is>
      </c>
      <c r="H413">
        <f>+WEEKNUM(A413)</f>
        <v/>
      </c>
      <c r="I413">
        <f>+YEAR(A413)</f>
        <v/>
      </c>
    </row>
    <row r="414">
      <c r="A414" s="1" t="n">
        <v>45539</v>
      </c>
      <c r="B414" t="inlineStr">
        <is>
          <t>VilMat</t>
        </is>
      </c>
      <c r="C414" t="inlineStr">
        <is>
          <t>Consultant</t>
        </is>
      </c>
      <c r="D414" t="inlineStr">
        <is>
          <t>Support #69776: FR2-20240601-013 Galutinis vartotojo vadovas</t>
        </is>
      </c>
      <c r="E414" t="inlineStr">
        <is>
          <t>Instrukcijų pildymas(case process)</t>
        </is>
      </c>
      <c r="F414" t="n">
        <v>0.5</v>
      </c>
      <c r="G414" t="inlineStr">
        <is>
          <t>Yes</t>
        </is>
      </c>
      <c r="H414">
        <f>+WEEKNUM(A414)</f>
        <v/>
      </c>
      <c r="I414">
        <f>+YEAR(A414)</f>
        <v/>
      </c>
    </row>
    <row r="415">
      <c r="A415" s="1" t="n">
        <v>45539</v>
      </c>
      <c r="B415" t="inlineStr">
        <is>
          <t>VilMat</t>
        </is>
      </c>
      <c r="C415" t="inlineStr">
        <is>
          <t>Consultant</t>
        </is>
      </c>
      <c r="D415" t="inlineStr">
        <is>
          <t>Support #69788: FR3-240601-012 Galutinis vartotojo vadovas</t>
        </is>
      </c>
      <c r="E415" t="inlineStr">
        <is>
          <t>Vartotojo vadovo instrukcijos kūrimas(part)</t>
        </is>
      </c>
      <c r="F415" t="n">
        <v>2</v>
      </c>
      <c r="G415" t="inlineStr">
        <is>
          <t>Yes</t>
        </is>
      </c>
      <c r="H415">
        <f>+WEEKNUM(A415)</f>
        <v/>
      </c>
      <c r="I415">
        <f>+YEAR(A415)</f>
        <v/>
      </c>
    </row>
    <row r="416">
      <c r="A416" s="1" t="n">
        <v>45539</v>
      </c>
      <c r="B416" t="inlineStr">
        <is>
          <t>VilMat</t>
        </is>
      </c>
      <c r="C416" t="inlineStr">
        <is>
          <t>Consultant</t>
        </is>
      </c>
      <c r="D416" t="inlineStr">
        <is>
          <t>Support #69776: FR2-20240601-013 Galutinis vartotojo vadovas</t>
        </is>
      </c>
      <c r="E416" t="inlineStr">
        <is>
          <t>Vartotojo vadovo instrukcijos kūrimas</t>
        </is>
      </c>
      <c r="F416" t="n">
        <v>1.5</v>
      </c>
      <c r="G416" t="inlineStr">
        <is>
          <t>Yes</t>
        </is>
      </c>
      <c r="H416">
        <f>+WEEKNUM(A416)</f>
        <v/>
      </c>
      <c r="I416">
        <f>+YEAR(A416)</f>
        <v/>
      </c>
    </row>
    <row r="417">
      <c r="A417" s="1" t="n">
        <v>45539</v>
      </c>
      <c r="B417" t="inlineStr">
        <is>
          <t>VilMat</t>
        </is>
      </c>
      <c r="C417" t="inlineStr">
        <is>
          <t>Consultant</t>
        </is>
      </c>
      <c r="D417" t="inlineStr">
        <is>
          <t>Support #65488: FR1 Subject/Kreipinio tipas skaidymas į du atskirus laukus</t>
        </is>
      </c>
      <c r="E417" t="inlineStr">
        <is>
          <t>Vertimų migravimas į Test environmentą</t>
        </is>
      </c>
      <c r="F417" t="n">
        <v>2</v>
      </c>
      <c r="G417" t="inlineStr">
        <is>
          <t>Yes</t>
        </is>
      </c>
      <c r="H417">
        <f>+WEEKNUM(A417)</f>
        <v/>
      </c>
      <c r="I417">
        <f>+YEAR(A417)</f>
        <v/>
      </c>
    </row>
    <row r="418">
      <c r="A418" s="1" t="n">
        <v>45539</v>
      </c>
      <c r="B418" t="inlineStr">
        <is>
          <t>AliAni</t>
        </is>
      </c>
      <c r="C418" t="inlineStr">
        <is>
          <t>Developer</t>
        </is>
      </c>
      <c r="D418" t="inlineStr">
        <is>
          <t>Support #69755: FR1-240601-003 "Convert To Case" formos programavimas</t>
        </is>
      </c>
      <c r="E418" t="inlineStr">
        <is>
          <t>Dėl customer suderinimo problemos sprendimas. Aprašiau komentare</t>
        </is>
      </c>
      <c r="F418" t="n">
        <v>0.5</v>
      </c>
      <c r="G418" t="inlineStr">
        <is>
          <t>No</t>
        </is>
      </c>
      <c r="H418">
        <f>+WEEKNUM(A418)</f>
        <v/>
      </c>
      <c r="I418">
        <f>+YEAR(A418)</f>
        <v/>
      </c>
    </row>
    <row r="419">
      <c r="A419" s="1" t="n">
        <v>45538</v>
      </c>
      <c r="B419" t="inlineStr">
        <is>
          <t>VilMat</t>
        </is>
      </c>
      <c r="C419" t="inlineStr">
        <is>
          <t>Consultant</t>
        </is>
      </c>
      <c r="D419" t="inlineStr">
        <is>
          <t>Support #69758: FR1-240601-006 Galutinis vartotojo vadovas</t>
        </is>
      </c>
      <c r="E419" t="inlineStr">
        <is>
          <t>Overtime - Galutinio vartotojo vadovo dokumento kūrimas</t>
        </is>
      </c>
      <c r="F419" t="n">
        <v>1.5</v>
      </c>
      <c r="G419" t="inlineStr">
        <is>
          <t>Yes</t>
        </is>
      </c>
      <c r="H419">
        <f>+WEEKNUM(A419)</f>
        <v/>
      </c>
      <c r="I419">
        <f>+YEAR(A419)</f>
        <v/>
      </c>
    </row>
    <row r="420">
      <c r="A420" s="1" t="n">
        <v>45538</v>
      </c>
      <c r="B420" t="inlineStr">
        <is>
          <t>VilMat</t>
        </is>
      </c>
      <c r="C420" t="inlineStr">
        <is>
          <t>Consultant</t>
        </is>
      </c>
      <c r="D420" t="inlineStr">
        <is>
          <t>Support #69776: FR2-20240601-013 Galutinis vartotojo vadovas</t>
        </is>
      </c>
      <c r="E420" t="inlineStr">
        <is>
          <t>Overtime - Vartotojo vadovo kūrimas (part)</t>
        </is>
      </c>
      <c r="F420" t="n">
        <v>1.5</v>
      </c>
      <c r="G420" t="inlineStr">
        <is>
          <t>Yes</t>
        </is>
      </c>
      <c r="H420">
        <f>+WEEKNUM(A420)</f>
        <v/>
      </c>
      <c r="I420">
        <f>+YEAR(A420)</f>
        <v/>
      </c>
    </row>
    <row r="421">
      <c r="A421" s="1" t="n">
        <v>45538</v>
      </c>
      <c r="B421" t="inlineStr">
        <is>
          <t>VilMat</t>
        </is>
      </c>
      <c r="C421" t="inlineStr">
        <is>
          <t>Consultant</t>
        </is>
      </c>
      <c r="D421" t="inlineStr">
        <is>
          <t>Feature #68573: FR2 Užklausų procesas</t>
        </is>
      </c>
      <c r="E421" t="inlineStr">
        <is>
          <t>Overtime - Vertimai į LT kalbą, proceso žingsnio pervadinimas, solutiono perimportavimas</t>
        </is>
      </c>
      <c r="F421" t="n">
        <v>2</v>
      </c>
      <c r="G421" t="inlineStr">
        <is>
          <t>Yes</t>
        </is>
      </c>
      <c r="H421">
        <f>+WEEKNUM(A421)</f>
        <v/>
      </c>
      <c r="I421">
        <f>+YEAR(A421)</f>
        <v/>
      </c>
    </row>
    <row r="422">
      <c r="A422" s="1" t="n">
        <v>45538</v>
      </c>
      <c r="B422" t="inlineStr">
        <is>
          <t>VilMat</t>
        </is>
      </c>
      <c r="C422" t="inlineStr">
        <is>
          <t>Consultant</t>
        </is>
      </c>
      <c r="D422" t="inlineStr">
        <is>
          <t>Feature #68573: FR2 Užklausų procesas</t>
        </is>
      </c>
      <c r="E422" t="inlineStr">
        <is>
          <t>Overtime - Solution atnaujinimas su paskutinėmis modifikacijomis į test aplinką</t>
        </is>
      </c>
      <c r="F422" t="n">
        <v>2</v>
      </c>
      <c r="G422" t="inlineStr">
        <is>
          <t>Yes</t>
        </is>
      </c>
      <c r="H422">
        <f>+WEEKNUM(A422)</f>
        <v/>
      </c>
      <c r="I422">
        <f>+YEAR(A422)</f>
        <v/>
      </c>
    </row>
    <row r="423">
      <c r="A423" s="1" t="n">
        <v>45538</v>
      </c>
      <c r="B423" t="inlineStr">
        <is>
          <t>VilMat</t>
        </is>
      </c>
      <c r="C423" t="inlineStr">
        <is>
          <t>Consultant</t>
        </is>
      </c>
      <c r="D423" t="inlineStr">
        <is>
          <t>Feature #68573: FR2 Užklausų procesas</t>
        </is>
      </c>
      <c r="E423" t="inlineStr">
        <is>
          <t>Vertimai į Lietuvių kalbą, pataisymai ir solution perimportavimas pataisymui</t>
        </is>
      </c>
      <c r="F423" t="n">
        <v>4</v>
      </c>
      <c r="G423" t="inlineStr">
        <is>
          <t>Yes</t>
        </is>
      </c>
      <c r="H423">
        <f>+WEEKNUM(A423)</f>
        <v/>
      </c>
      <c r="I423">
        <f>+YEAR(A423)</f>
        <v/>
      </c>
    </row>
    <row r="424">
      <c r="A424" s="1" t="n">
        <v>45538</v>
      </c>
      <c r="B424" t="inlineStr">
        <is>
          <t>VilMat</t>
        </is>
      </c>
      <c r="C424" t="inlineStr">
        <is>
          <t>Consultant</t>
        </is>
      </c>
      <c r="D424" t="inlineStr">
        <is>
          <t>Support #65488: FR1 Subject/Kreipinio tipas skaidymas į du atskirus laukus</t>
        </is>
      </c>
      <c r="E424" t="inlineStr">
        <is>
          <t>Test env. atsiradusių klaidų fixinimas</t>
        </is>
      </c>
      <c r="F424" t="n">
        <v>1.5</v>
      </c>
      <c r="G424" t="inlineStr">
        <is>
          <t>Yes</t>
        </is>
      </c>
      <c r="H424">
        <f>+WEEKNUM(A424)</f>
        <v/>
      </c>
      <c r="I424">
        <f>+YEAR(A424)</f>
        <v/>
      </c>
    </row>
    <row r="425">
      <c r="A425" s="1" t="n">
        <v>45538</v>
      </c>
      <c r="B425" t="inlineStr">
        <is>
          <t>VilMat</t>
        </is>
      </c>
      <c r="C425" t="inlineStr">
        <is>
          <t>Consultant</t>
        </is>
      </c>
      <c r="D425" t="inlineStr">
        <is>
          <t>Support #69768: FR2-20240601-005 Process Stage Duration funkcionalumo perkonfigūravimas</t>
        </is>
      </c>
      <c r="E425" t="inlineStr">
        <is>
          <t>Totals skaičiavimo sutikrinimas, korekcijos, pertestavimas</t>
        </is>
      </c>
      <c r="F425" t="n">
        <v>1.5</v>
      </c>
      <c r="G425" t="inlineStr">
        <is>
          <t>Yes</t>
        </is>
      </c>
      <c r="H425">
        <f>+WEEKNUM(A425)</f>
        <v/>
      </c>
      <c r="I425">
        <f>+YEAR(A425)</f>
        <v/>
      </c>
    </row>
    <row r="426">
      <c r="A426" s="1" t="n">
        <v>45538</v>
      </c>
      <c r="B426" t="inlineStr">
        <is>
          <t>AliAni</t>
        </is>
      </c>
      <c r="C426" t="inlineStr">
        <is>
          <t>Developer</t>
        </is>
      </c>
      <c r="D426" t="inlineStr">
        <is>
          <t>Support #69775: FR2-20240601-012 Sprendinio migracijos į test ir production aplinkas bei testavimo(Test,Prod) darbai</t>
        </is>
      </c>
      <c r="E426" t="inlineStr">
        <is>
          <t xml:space="preserve">Aptarimas daro dėl proceso atidarymo ir duration total sukurimo su Vilintu ir Gabrieliumi (~2h) Ieškota sprendimo kaip padaryti. Rezultate sukurtas naujas entity ir flow. </t>
        </is>
      </c>
      <c r="F426" t="n">
        <v>4.5</v>
      </c>
      <c r="G426" t="inlineStr">
        <is>
          <t>Yes</t>
        </is>
      </c>
      <c r="H426">
        <f>+WEEKNUM(A426)</f>
        <v/>
      </c>
      <c r="I426">
        <f>+YEAR(A426)</f>
        <v/>
      </c>
    </row>
    <row r="427">
      <c r="A427" s="1" t="n">
        <v>45538</v>
      </c>
      <c r="B427" t="inlineStr">
        <is>
          <t>AliAni</t>
        </is>
      </c>
      <c r="C427" t="inlineStr">
        <is>
          <t>Developer</t>
        </is>
      </c>
      <c r="D427" t="inlineStr">
        <is>
          <t>Support #69755: FR1-240601-003 "Convert To Case" formos programavimas</t>
        </is>
      </c>
      <c r="E427" t="inlineStr">
        <is>
          <t>Pataisymai. Perkeliau iš AT prjojekto scriptą, kur atidaro BPF procesą Case. Testavimas</t>
        </is>
      </c>
      <c r="F427" t="n">
        <v>2</v>
      </c>
      <c r="G427" t="inlineStr">
        <is>
          <t>Yes</t>
        </is>
      </c>
      <c r="H427">
        <f>+WEEKNUM(A427)</f>
        <v/>
      </c>
      <c r="I427">
        <f>+YEAR(A427)</f>
        <v/>
      </c>
    </row>
    <row r="428">
      <c r="A428" s="1" t="n">
        <v>45537</v>
      </c>
      <c r="B428" t="inlineStr">
        <is>
          <t>VilMat</t>
        </is>
      </c>
      <c r="C428" t="inlineStr">
        <is>
          <t>Consultant</t>
        </is>
      </c>
      <c r="D428" t="inlineStr">
        <is>
          <t>Feature #68573: FR2 Užklausų procesas</t>
        </is>
      </c>
      <c r="E428" t="inlineStr">
        <is>
          <t>Overtime - Kliento pateikto testavimo rezultatų excelio atnaujinimas komentarais bei on-the-go pataisymais</t>
        </is>
      </c>
      <c r="F428" t="n">
        <v>2</v>
      </c>
      <c r="G428" t="inlineStr">
        <is>
          <t>Yes</t>
        </is>
      </c>
      <c r="H428">
        <f>+WEEKNUM(A428)</f>
        <v/>
      </c>
      <c r="I428">
        <f>+YEAR(A428)</f>
        <v/>
      </c>
    </row>
    <row r="429">
      <c r="A429" s="1" t="n">
        <v>45537</v>
      </c>
      <c r="B429" t="inlineStr">
        <is>
          <t>VilMat</t>
        </is>
      </c>
      <c r="C429" t="inlineStr">
        <is>
          <t>Consultant</t>
        </is>
      </c>
      <c r="D429" t="inlineStr">
        <is>
          <t>Support #68773: FR3 Užduočių funkcionalumo pakeitimai</t>
        </is>
      </c>
      <c r="E429" t="inlineStr">
        <is>
          <t xml:space="preserve"> Task modifications force check all developments</t>
        </is>
      </c>
      <c r="F429" t="n">
        <v>8</v>
      </c>
      <c r="G429" t="inlineStr">
        <is>
          <t>Yes</t>
        </is>
      </c>
      <c r="H429">
        <f>+WEEKNUM(A429)</f>
        <v/>
      </c>
      <c r="I429">
        <f>+YEAR(A429)</f>
        <v/>
      </c>
    </row>
    <row r="430">
      <c r="A430" s="1" t="n">
        <v>45537</v>
      </c>
      <c r="B430" t="inlineStr">
        <is>
          <t>GabKoj</t>
        </is>
      </c>
      <c r="C430" t="inlineStr">
        <is>
          <t>Developer</t>
        </is>
      </c>
      <c r="D430" t="inlineStr">
        <is>
          <t>Feature #68573: FR2 Užklausų procesas</t>
        </is>
      </c>
      <c r="E430" t="inlineStr">
        <is>
          <t>excel klaidų taisymas, call with Vilintas, Ugnius</t>
        </is>
      </c>
      <c r="F430" t="n">
        <v>8</v>
      </c>
      <c r="G430" t="inlineStr">
        <is>
          <t>Yes</t>
        </is>
      </c>
      <c r="H430">
        <f>+WEEKNUM(A430)</f>
        <v/>
      </c>
      <c r="I430">
        <f>+YEAR(A430)</f>
        <v/>
      </c>
    </row>
    <row r="431">
      <c r="A431" s="1" t="n">
        <v>45532</v>
      </c>
      <c r="B431" t="inlineStr">
        <is>
          <t>VilMat</t>
        </is>
      </c>
      <c r="C431" t="inlineStr">
        <is>
          <t>Consultant</t>
        </is>
      </c>
      <c r="D431" t="inlineStr">
        <is>
          <t>Support #69758: FR1-240601-006 Galutinis vartotojo vadovas</t>
        </is>
      </c>
      <c r="E431" t="inlineStr">
        <is>
          <t>Overtime - Vartotojo vadovo kūrimas (part)</t>
        </is>
      </c>
      <c r="F431" t="n">
        <v>3</v>
      </c>
      <c r="G431" t="inlineStr">
        <is>
          <t>Yes</t>
        </is>
      </c>
      <c r="H431">
        <f>+WEEKNUM(A431)</f>
        <v/>
      </c>
      <c r="I431">
        <f>+YEAR(A431)</f>
        <v/>
      </c>
    </row>
    <row r="432">
      <c r="A432" s="1" t="n">
        <v>45532</v>
      </c>
      <c r="B432" t="inlineStr">
        <is>
          <t>AliAni</t>
        </is>
      </c>
      <c r="C432" t="inlineStr">
        <is>
          <t>Developer</t>
        </is>
      </c>
      <c r="D432" t="inlineStr">
        <is>
          <t>Support #69789: FR3-240601-013 Techninio projektavimo dokumento paruošimas</t>
        </is>
      </c>
      <c r="E432" t="inlineStr">
        <is>
          <t>Patvarkyta byla. Suskirtita į FR1, FR2, FR3</t>
        </is>
      </c>
      <c r="F432" t="n">
        <v>0.5</v>
      </c>
      <c r="G432" t="inlineStr">
        <is>
          <t>Yes</t>
        </is>
      </c>
      <c r="H432">
        <f>+WEEKNUM(A432)</f>
        <v/>
      </c>
      <c r="I432">
        <f>+YEAR(A432)</f>
        <v/>
      </c>
    </row>
    <row r="433">
      <c r="A433" s="1" t="n">
        <v>45532</v>
      </c>
      <c r="B433" t="inlineStr">
        <is>
          <t>VilMat</t>
        </is>
      </c>
      <c r="C433" t="inlineStr">
        <is>
          <t>Consultant</t>
        </is>
      </c>
      <c r="D433" t="inlineStr">
        <is>
          <t>Support #68773: FR3 Užduočių funkcionalumo pakeitimai</t>
        </is>
      </c>
      <c r="E433" t="inlineStr">
        <is>
          <t>Funkcijos Force Check ir klaidų fiksavimas</t>
        </is>
      </c>
      <c r="F433" t="n">
        <v>1.5</v>
      </c>
      <c r="G433" t="inlineStr">
        <is>
          <t>Yes</t>
        </is>
      </c>
      <c r="H433">
        <f>+WEEKNUM(A433)</f>
        <v/>
      </c>
      <c r="I433">
        <f>+YEAR(A433)</f>
        <v/>
      </c>
    </row>
    <row r="434">
      <c r="A434" s="1" t="n">
        <v>45531</v>
      </c>
      <c r="B434" t="inlineStr">
        <is>
          <t>AliAni</t>
        </is>
      </c>
      <c r="C434" t="inlineStr">
        <is>
          <t>Developer</t>
        </is>
      </c>
      <c r="D434" t="inlineStr">
        <is>
          <t>Support #69755: FR1-240601-003 "Convert To Case" formos programavimas</t>
        </is>
      </c>
      <c r="E434" t="inlineStr">
        <is>
          <t>Patvarkytos pastabos. Kol formą pasikrauna, bus tusčias dialogo langas ir suksis Loader</t>
        </is>
      </c>
      <c r="F434" t="n">
        <v>2</v>
      </c>
      <c r="G434" t="inlineStr">
        <is>
          <t>Yes</t>
        </is>
      </c>
      <c r="H434">
        <f>+WEEKNUM(A434)</f>
        <v/>
      </c>
      <c r="I434">
        <f>+YEAR(A434)</f>
        <v/>
      </c>
    </row>
    <row r="435">
      <c r="A435" s="1" t="n">
        <v>45530</v>
      </c>
      <c r="B435" t="inlineStr">
        <is>
          <t>AliAni</t>
        </is>
      </c>
      <c r="C435" t="inlineStr">
        <is>
          <t>Developer</t>
        </is>
      </c>
      <c r="D435" t="inlineStr">
        <is>
          <t>Support #69755: FR1-240601-003 "Convert To Case" formos programavimas</t>
        </is>
      </c>
      <c r="E435" t="inlineStr">
        <is>
          <t>Žiūrėjau kaip perdaryti su canvas app. Pritempti maksimaliai prie originalios microsoft. Tačiau yra problematika pridėti iš colectionu ir apeiti limitus jungiant du entičius. Per ilgai užtruktų perdarinėjimas</t>
        </is>
      </c>
      <c r="F435" t="n">
        <v>1.5</v>
      </c>
      <c r="G435" t="inlineStr">
        <is>
          <t>Yes</t>
        </is>
      </c>
      <c r="H435">
        <f>+WEEKNUM(A435)</f>
        <v/>
      </c>
      <c r="I435">
        <f>+YEAR(A435)</f>
        <v/>
      </c>
    </row>
    <row r="436">
      <c r="A436" s="1" t="n">
        <v>45530</v>
      </c>
      <c r="B436" t="inlineStr">
        <is>
          <t>AliAni</t>
        </is>
      </c>
      <c r="C436" t="inlineStr">
        <is>
          <t>Developer</t>
        </is>
      </c>
      <c r="D436" t="inlineStr">
        <is>
          <t>Support #69786: FR3-240601-010 Sprendinio migracijos ir testavimo darbai</t>
        </is>
      </c>
      <c r="E436" t="inlineStr">
        <is>
          <t>Testqavimas. Smulkūs patvarkymai (laukų didžio pakeitimas, vertimas, formos nereikalingos iš apps išėmimas ir pan.) Perkelti pakeitimai į test.</t>
        </is>
      </c>
      <c r="F436" t="n">
        <v>4.25</v>
      </c>
      <c r="G436" t="inlineStr">
        <is>
          <t>Yes</t>
        </is>
      </c>
      <c r="H436">
        <f>+WEEKNUM(A436)</f>
        <v/>
      </c>
      <c r="I436">
        <f>+YEAR(A436)</f>
        <v/>
      </c>
    </row>
    <row r="437">
      <c r="A437" s="1" t="n">
        <v>45530</v>
      </c>
      <c r="B437" t="inlineStr">
        <is>
          <t>AliAni</t>
        </is>
      </c>
      <c r="C437" t="inlineStr">
        <is>
          <t>Meeting</t>
        </is>
      </c>
      <c r="D437" t="inlineStr">
        <is>
          <t>Support #69786: FR3-240601-010 Sprendinio migracijos ir testavimo darbai</t>
        </is>
      </c>
      <c r="E437" t="inlineStr">
        <is>
          <t>Gabrieliaus pagalba dėl formos.</t>
        </is>
      </c>
      <c r="F437" t="n">
        <v>1</v>
      </c>
      <c r="G437" t="inlineStr">
        <is>
          <t>No</t>
        </is>
      </c>
      <c r="H437">
        <f>+WEEKNUM(A437)</f>
        <v/>
      </c>
      <c r="I437">
        <f>+YEAR(A437)</f>
        <v/>
      </c>
    </row>
    <row r="438">
      <c r="A438" s="1" t="n">
        <v>45530</v>
      </c>
      <c r="B438" t="inlineStr">
        <is>
          <t>AliAni</t>
        </is>
      </c>
      <c r="C438" t="inlineStr">
        <is>
          <t>Developer</t>
        </is>
      </c>
      <c r="D438" t="inlineStr">
        <is>
          <t>Support #69786: FR3-240601-010 Sprendinio migracijos ir testavimo darbai</t>
        </is>
      </c>
      <c r="E438" t="inlineStr">
        <is>
          <t>Perkėlimas solutiono iš Dev į Test</t>
        </is>
      </c>
      <c r="F438" t="n">
        <v>0.5</v>
      </c>
      <c r="G438" t="inlineStr">
        <is>
          <t>Yes</t>
        </is>
      </c>
      <c r="H438">
        <f>+WEEKNUM(A438)</f>
        <v/>
      </c>
      <c r="I438">
        <f>+YEAR(A438)</f>
        <v/>
      </c>
    </row>
    <row r="439">
      <c r="A439" s="1" t="n">
        <v>45527</v>
      </c>
      <c r="B439" t="inlineStr">
        <is>
          <t>AliAni</t>
        </is>
      </c>
      <c r="C439" t="inlineStr">
        <is>
          <t>Meeting</t>
        </is>
      </c>
      <c r="D439" t="inlineStr">
        <is>
          <t>Support #69786: FR3-240601-010 Sprendinio migracijos ir testavimo darbai</t>
        </is>
      </c>
      <c r="E439" t="inlineStr">
        <is>
          <t>Pokalbis su Vilintu dėl migracijos</t>
        </is>
      </c>
      <c r="F439" t="n">
        <v>0.5</v>
      </c>
      <c r="G439" t="inlineStr">
        <is>
          <t>Yes</t>
        </is>
      </c>
      <c r="H439">
        <f>+WEEKNUM(A439)</f>
        <v/>
      </c>
      <c r="I439">
        <f>+YEAR(A439)</f>
        <v/>
      </c>
    </row>
    <row r="440">
      <c r="A440" s="1" t="n">
        <v>45527</v>
      </c>
      <c r="B440" t="inlineStr">
        <is>
          <t>AliAni</t>
        </is>
      </c>
      <c r="C440" t="inlineStr">
        <is>
          <t>Learning</t>
        </is>
      </c>
      <c r="D440" t="inlineStr">
        <is>
          <t>Support #69786: FR3-240601-010 Sprendinio migracijos ir testavimo darbai</t>
        </is>
      </c>
      <c r="E440" t="inlineStr">
        <is>
          <t>Migracijos problemos. Ne pilnai atsinaujino formą. Ieškojau informacijos kodėl formą užsikrovė į Test nepilnai. Kaip sudėti formos komponentus ir juos perkelti į solutionus</t>
        </is>
      </c>
      <c r="F440" t="n">
        <v>2.5</v>
      </c>
      <c r="G440" t="inlineStr">
        <is>
          <t>No</t>
        </is>
      </c>
      <c r="H440">
        <f>+WEEKNUM(A440)</f>
        <v/>
      </c>
      <c r="I440">
        <f>+YEAR(A440)</f>
        <v/>
      </c>
    </row>
    <row r="441">
      <c r="A441" s="1" t="n">
        <v>45527</v>
      </c>
      <c r="B441" t="inlineStr">
        <is>
          <t>GabKoj</t>
        </is>
      </c>
      <c r="C441" t="inlineStr">
        <is>
          <t>Developer</t>
        </is>
      </c>
      <c r="D441" t="inlineStr">
        <is>
          <t>Support #69767: FR2-20240601-004 Service Level Agreements (SLA) standartinio funkcionalumo perkonfigūravimas</t>
        </is>
      </c>
      <c r="E441" t="inlineStr">
        <is>
          <t>fixing test environtment with Vilintas</t>
        </is>
      </c>
      <c r="F441" t="n">
        <v>0.5</v>
      </c>
      <c r="G441" t="inlineStr">
        <is>
          <t>No</t>
        </is>
      </c>
      <c r="H441">
        <f>+WEEKNUM(A441)</f>
        <v/>
      </c>
      <c r="I441">
        <f>+YEAR(A441)</f>
        <v/>
      </c>
    </row>
    <row r="442">
      <c r="A442" s="1" t="n">
        <v>45527</v>
      </c>
      <c r="B442" t="inlineStr">
        <is>
          <t>VilMat</t>
        </is>
      </c>
      <c r="C442" t="inlineStr">
        <is>
          <t>Consultant</t>
        </is>
      </c>
      <c r="D442" t="inlineStr">
        <is>
          <t>Support #69775: FR2-20240601-012 Sprendinio migracijos į test ir production aplinkas bei testavimo(Test,Prod) darbai</t>
        </is>
      </c>
      <c r="E442" t="inlineStr">
        <is>
          <t>Aptarimas su Gabrieliumi dėl neteisingo veikimo procesų po perkėlimo į test aplinką</t>
        </is>
      </c>
      <c r="F442" t="n">
        <v>0.5</v>
      </c>
      <c r="G442" t="inlineStr">
        <is>
          <t>Yes</t>
        </is>
      </c>
      <c r="H442">
        <f>+WEEKNUM(A442)</f>
        <v/>
      </c>
      <c r="I442">
        <f>+YEAR(A442)</f>
        <v/>
      </c>
    </row>
    <row r="443">
      <c r="A443" s="1" t="n">
        <v>45527</v>
      </c>
      <c r="B443" t="inlineStr">
        <is>
          <t>VilMat</t>
        </is>
      </c>
      <c r="C443" t="inlineStr">
        <is>
          <t>Consultant</t>
        </is>
      </c>
      <c r="D443" t="inlineStr">
        <is>
          <t>Support #68773: FR3 Užduočių funkcionalumo pakeitimai</t>
        </is>
      </c>
      <c r="E443" t="inlineStr">
        <is>
          <t>sprendimo testavimas</t>
        </is>
      </c>
      <c r="F443" t="n">
        <v>1</v>
      </c>
      <c r="G443" t="inlineStr">
        <is>
          <t>Yes</t>
        </is>
      </c>
      <c r="H443">
        <f>+WEEKNUM(A443)</f>
        <v/>
      </c>
      <c r="I443">
        <f>+YEAR(A443)</f>
        <v/>
      </c>
    </row>
    <row r="444">
      <c r="A444" s="1" t="n">
        <v>45527</v>
      </c>
      <c r="B444" t="inlineStr">
        <is>
          <t>VilMat</t>
        </is>
      </c>
      <c r="C444" t="inlineStr">
        <is>
          <t>Consultant</t>
        </is>
      </c>
      <c r="D444" t="inlineStr">
        <is>
          <t>Support #69786: FR3-240601-010 Sprendinio migracijos ir testavimo darbai</t>
        </is>
      </c>
      <c r="E444" t="inlineStr">
        <is>
          <t>Sprendimo kėlimo paaiškinimai Alinai</t>
        </is>
      </c>
      <c r="F444" t="n">
        <v>0.5</v>
      </c>
      <c r="G444" t="inlineStr">
        <is>
          <t>Yes</t>
        </is>
      </c>
      <c r="H444">
        <f>+WEEKNUM(A444)</f>
        <v/>
      </c>
      <c r="I444">
        <f>+YEAR(A444)</f>
        <v/>
      </c>
    </row>
    <row r="445">
      <c r="A445" s="1" t="n">
        <v>45527</v>
      </c>
      <c r="B445" t="inlineStr">
        <is>
          <t>AliAni</t>
        </is>
      </c>
      <c r="C445" t="inlineStr">
        <is>
          <t>Consultant</t>
        </is>
      </c>
      <c r="D445" t="inlineStr">
        <is>
          <t>Support #69759: FR1-240601-007 Techninio projektavimo dokumento paruošimas anglų kalba</t>
        </is>
      </c>
      <c r="E445" t="inlineStr">
        <is>
          <t>Specifikacjos vertimas ir tvarkymas anglų kalba</t>
        </is>
      </c>
      <c r="F445" t="n">
        <v>4</v>
      </c>
      <c r="G445" t="inlineStr">
        <is>
          <t>Yes</t>
        </is>
      </c>
      <c r="H445">
        <f>+WEEKNUM(A445)</f>
        <v/>
      </c>
      <c r="I445">
        <f>+YEAR(A445)</f>
        <v/>
      </c>
    </row>
    <row r="446">
      <c r="A446" s="1" t="n">
        <v>45527</v>
      </c>
      <c r="B446" t="inlineStr">
        <is>
          <t>AliAni</t>
        </is>
      </c>
      <c r="C446" t="inlineStr">
        <is>
          <t>Developer</t>
        </is>
      </c>
      <c r="D446" t="inlineStr">
        <is>
          <t>Support #69787: FR3-240601-011 Vertimai English &gt; Lithuanian</t>
        </is>
      </c>
      <c r="E446" t="inlineStr">
        <is>
          <t>Sukeltas ir atnaujintas XML su vertimai DEV aplinkoje</t>
        </is>
      </c>
      <c r="F446" t="n">
        <v>2</v>
      </c>
      <c r="G446" t="inlineStr">
        <is>
          <t>Yes</t>
        </is>
      </c>
      <c r="H446">
        <f>+WEEKNUM(A446)</f>
        <v/>
      </c>
      <c r="I446">
        <f>+YEAR(A446)</f>
        <v/>
      </c>
    </row>
    <row r="447">
      <c r="A447" s="1" t="n">
        <v>45526</v>
      </c>
      <c r="B447" t="inlineStr">
        <is>
          <t>AliAni</t>
        </is>
      </c>
      <c r="C447" t="inlineStr">
        <is>
          <t>Developer</t>
        </is>
      </c>
      <c r="D447" t="inlineStr">
        <is>
          <t>Support #69787: FR3-240601-011 Vertimai English &gt; Lithuanian</t>
        </is>
      </c>
      <c r="E447" t="inlineStr">
        <is>
          <t>Vertimai</t>
        </is>
      </c>
      <c r="F447" t="n">
        <v>4</v>
      </c>
      <c r="G447" t="inlineStr">
        <is>
          <t>Yes</t>
        </is>
      </c>
      <c r="H447">
        <f>+WEEKNUM(A447)</f>
        <v/>
      </c>
      <c r="I447">
        <f>+YEAR(A447)</f>
        <v/>
      </c>
    </row>
    <row r="448">
      <c r="A448" s="1" t="n">
        <v>45526</v>
      </c>
      <c r="B448" t="inlineStr">
        <is>
          <t>GabKoj</t>
        </is>
      </c>
      <c r="C448" t="inlineStr">
        <is>
          <t>Developer</t>
        </is>
      </c>
      <c r="D448" t="inlineStr">
        <is>
          <t>Support #69767: FR2-20240601-004 Service Level Agreements (SLA) standartinio funkcionalumo perkonfigūravimas</t>
        </is>
      </c>
      <c r="E448" t="inlineStr">
        <is>
          <t>call with Vilintas debugging SLA in test environtment</t>
        </is>
      </c>
      <c r="F448" t="n">
        <v>1.5</v>
      </c>
      <c r="G448" t="inlineStr">
        <is>
          <t>No</t>
        </is>
      </c>
      <c r="H448">
        <f>+WEEKNUM(A448)</f>
        <v/>
      </c>
      <c r="I448">
        <f>+YEAR(A448)</f>
        <v/>
      </c>
    </row>
    <row r="449">
      <c r="A449" s="1" t="n">
        <v>45526</v>
      </c>
      <c r="B449" t="inlineStr">
        <is>
          <t>VilMat</t>
        </is>
      </c>
      <c r="C449" t="inlineStr">
        <is>
          <t>Consultant</t>
        </is>
      </c>
      <c r="D449" t="inlineStr">
        <is>
          <t>Support #69767: FR2-20240601-004 Service Level Agreements (SLA) standartinio funkcionalumo perkonfigūravimas</t>
        </is>
      </c>
      <c r="E449" t="inlineStr">
        <is>
          <t>Galimo gap'o funkcionalume aiškinimasis, komunikacija su Gabrieliumi ir sprendimo būdu pritaikymas SLA skaičiavimui po užklausos reaktyvacijos</t>
        </is>
      </c>
      <c r="F449" t="n">
        <v>0.75</v>
      </c>
      <c r="G449" t="inlineStr">
        <is>
          <t>No</t>
        </is>
      </c>
      <c r="H449">
        <f>+WEEKNUM(A449)</f>
        <v/>
      </c>
      <c r="I449">
        <f>+YEAR(A449)</f>
        <v/>
      </c>
    </row>
    <row r="450">
      <c r="A450" s="1" t="n">
        <v>45526</v>
      </c>
      <c r="B450" t="inlineStr">
        <is>
          <t>AliAni</t>
        </is>
      </c>
      <c r="C450" t="inlineStr">
        <is>
          <t>Consultant</t>
        </is>
      </c>
      <c r="D450" t="inlineStr">
        <is>
          <t>Support #69759: FR1-240601-007 Techninio projektavimo dokumento paruošimas anglų kalba</t>
        </is>
      </c>
      <c r="E450" t="inlineStr">
        <is>
          <t>Specifikacjos vertimas ir tvarkymas anglų kalba</t>
        </is>
      </c>
      <c r="F450" t="n">
        <v>4</v>
      </c>
      <c r="G450" t="inlineStr">
        <is>
          <t>No</t>
        </is>
      </c>
      <c r="H450">
        <f>+WEEKNUM(A450)</f>
        <v/>
      </c>
      <c r="I450">
        <f>+YEAR(A450)</f>
        <v/>
      </c>
    </row>
    <row r="451">
      <c r="A451" s="1" t="n">
        <v>45526</v>
      </c>
      <c r="B451" t="inlineStr">
        <is>
          <t>VilMat</t>
        </is>
      </c>
      <c r="C451" t="inlineStr">
        <is>
          <t>Consultant</t>
        </is>
      </c>
      <c r="D451" t="inlineStr">
        <is>
          <t>Support #69775: FR2-20240601-012 Sprendinio migracijos į test ir production aplinkas bei testavimo(Test,Prod) darbai</t>
        </is>
      </c>
      <c r="E451" t="inlineStr">
        <is>
          <t>Sprendinio perkėlimas(last phase) į test aplinką ir testavimas</t>
        </is>
      </c>
      <c r="F451" t="n">
        <v>1.75</v>
      </c>
      <c r="G451" t="inlineStr">
        <is>
          <t>Yes</t>
        </is>
      </c>
      <c r="H451">
        <f>+WEEKNUM(A451)</f>
        <v/>
      </c>
      <c r="I451">
        <f>+YEAR(A451)</f>
        <v/>
      </c>
    </row>
    <row r="452">
      <c r="A452" s="1" t="n">
        <v>45526</v>
      </c>
      <c r="B452" t="inlineStr">
        <is>
          <t>VilMat</t>
        </is>
      </c>
      <c r="C452" t="inlineStr">
        <is>
          <t>Consultant</t>
        </is>
      </c>
      <c r="D452" t="inlineStr">
        <is>
          <t>Support #69775: FR2-20240601-012 Sprendinio migracijos į test ir production aplinkas bei testavimo(Test,Prod) darbai</t>
        </is>
      </c>
      <c r="E452" t="inlineStr">
        <is>
          <t>Informacija el.paštu klientui apie sprendimo perkėlimą ir testavimą</t>
        </is>
      </c>
      <c r="F452" t="n">
        <v>0.75</v>
      </c>
      <c r="G452" t="inlineStr">
        <is>
          <t>Yes</t>
        </is>
      </c>
      <c r="H452">
        <f>+WEEKNUM(A452)</f>
        <v/>
      </c>
      <c r="I452">
        <f>+YEAR(A452)</f>
        <v/>
      </c>
    </row>
    <row r="453">
      <c r="A453" s="1" t="n">
        <v>45526</v>
      </c>
      <c r="B453" t="inlineStr">
        <is>
          <t>VilMat</t>
        </is>
      </c>
      <c r="C453" t="inlineStr">
        <is>
          <t>Consultant</t>
        </is>
      </c>
      <c r="D453" t="inlineStr">
        <is>
          <t>Support #69775: FR2-20240601-012 Sprendinio migracijos į test ir production aplinkas bei testavimo(Test,Prod) darbai</t>
        </is>
      </c>
      <c r="E453" t="inlineStr">
        <is>
          <t>Probleminio rezultato gavimo po case reaktyvavimo testavimas su Gabrieliumi, kylančių problemų fiksavimas</t>
        </is>
      </c>
      <c r="F453" t="n">
        <v>1.5</v>
      </c>
      <c r="G453" t="inlineStr">
        <is>
          <t>Yes</t>
        </is>
      </c>
      <c r="H453">
        <f>+WEEKNUM(A453)</f>
        <v/>
      </c>
      <c r="I453">
        <f>+YEAR(A453)</f>
        <v/>
      </c>
    </row>
    <row r="454">
      <c r="A454" s="1" t="n">
        <v>45526</v>
      </c>
      <c r="B454" t="inlineStr">
        <is>
          <t>VilMat</t>
        </is>
      </c>
      <c r="C454" t="inlineStr">
        <is>
          <t>Consultant</t>
        </is>
      </c>
      <c r="D454" t="inlineStr">
        <is>
          <t>Support #68773: FR3 Užduočių funkcionalumo pakeitimai</t>
        </is>
      </c>
      <c r="E454" t="inlineStr">
        <is>
          <t>Funkcionalumo peržiūra su Alina</t>
        </is>
      </c>
      <c r="F454" t="n">
        <v>0.75</v>
      </c>
      <c r="G454" t="inlineStr">
        <is>
          <t>Yes</t>
        </is>
      </c>
      <c r="H454">
        <f>+WEEKNUM(A454)</f>
        <v/>
      </c>
      <c r="I454">
        <f>+YEAR(A454)</f>
        <v/>
      </c>
    </row>
    <row r="455">
      <c r="A455" s="1" t="n">
        <v>45525</v>
      </c>
      <c r="B455" t="inlineStr">
        <is>
          <t>VilMat</t>
        </is>
      </c>
      <c r="C455" t="inlineStr">
        <is>
          <t>Consultant</t>
        </is>
      </c>
      <c r="D455" t="inlineStr">
        <is>
          <t>Support #69767: FR2-20240601-004 Service Level Agreements (SLA) standartinio funkcionalumo perkonfigūravimas</t>
        </is>
      </c>
      <c r="E455" t="inlineStr">
        <is>
          <t>Workflow keitimas, galimų perdarymų geriausio rezultato išgavimo ieškojimas, pasitarimai su kolegomis, programuotoju, workflow kartotiniai perkūrinėjimai.</t>
        </is>
      </c>
      <c r="F455" t="n">
        <v>5</v>
      </c>
      <c r="G455" t="inlineStr">
        <is>
          <t>No</t>
        </is>
      </c>
      <c r="H455">
        <f>+WEEKNUM(A455)</f>
        <v/>
      </c>
      <c r="I455">
        <f>+YEAR(A455)</f>
        <v/>
      </c>
    </row>
    <row r="456">
      <c r="A456" s="1" t="n">
        <v>45525</v>
      </c>
      <c r="B456" t="inlineStr">
        <is>
          <t>VilMat</t>
        </is>
      </c>
      <c r="C456" t="inlineStr">
        <is>
          <t>Consultant</t>
        </is>
      </c>
      <c r="D456" t="inlineStr">
        <is>
          <t>Support #69775: FR2-20240601-012 Sprendinio migracijos į test ir production aplinkas bei testavimo(Test,Prod) darbai</t>
        </is>
      </c>
      <c r="E456" t="inlineStr">
        <is>
          <t>Perkėlimo į test ir testavimo darbai (first phase)</t>
        </is>
      </c>
      <c r="F456" t="n">
        <v>1</v>
      </c>
      <c r="G456" t="inlineStr">
        <is>
          <t>Yes</t>
        </is>
      </c>
      <c r="H456">
        <f>+WEEKNUM(A456)</f>
        <v/>
      </c>
      <c r="I456">
        <f>+YEAR(A456)</f>
        <v/>
      </c>
    </row>
    <row r="457">
      <c r="A457" s="1" t="n">
        <v>45525</v>
      </c>
      <c r="B457" t="inlineStr">
        <is>
          <t>VilMat</t>
        </is>
      </c>
      <c r="C457" t="inlineStr">
        <is>
          <t>Consultant</t>
        </is>
      </c>
      <c r="D457" t="inlineStr">
        <is>
          <t>Support #69775: FR2-20240601-012 Sprendinio migracijos į test ir production aplinkas bei testavimo(Test,Prod) darbai</t>
        </is>
      </c>
      <c r="E457" t="inlineStr">
        <is>
          <t>Overtime - Užklausų modulio migracija į test aplinką, testavimas</t>
        </is>
      </c>
      <c r="F457" t="n">
        <v>1.5</v>
      </c>
      <c r="G457" t="inlineStr">
        <is>
          <t>Yes</t>
        </is>
      </c>
      <c r="H457">
        <f>+WEEKNUM(A457)</f>
        <v/>
      </c>
      <c r="I457">
        <f>+YEAR(A457)</f>
        <v/>
      </c>
    </row>
    <row r="458">
      <c r="A458" s="1" t="n">
        <v>45525</v>
      </c>
      <c r="B458" t="inlineStr">
        <is>
          <t>VilMat</t>
        </is>
      </c>
      <c r="C458" t="inlineStr">
        <is>
          <t>Consultant</t>
        </is>
      </c>
      <c r="D458" t="inlineStr">
        <is>
          <t>Support #69767: FR2-20240601-004 Service Level Agreements (SLA) standartinio funkcionalumo perkonfigūravimas</t>
        </is>
      </c>
      <c r="E458" t="inlineStr">
        <is>
          <t>Overtime - SLA funkcijos workflow'ų konfigūravimas, perdarymas kitų susijusių workflow ir testavimas</t>
        </is>
      </c>
      <c r="F458" t="n">
        <v>5</v>
      </c>
      <c r="G458" t="inlineStr">
        <is>
          <t>No</t>
        </is>
      </c>
      <c r="H458">
        <f>+WEEKNUM(A458)</f>
        <v/>
      </c>
      <c r="I458">
        <f>+YEAR(A458)</f>
        <v/>
      </c>
    </row>
    <row r="459">
      <c r="A459" s="1" t="n">
        <v>45525</v>
      </c>
      <c r="B459" t="inlineStr">
        <is>
          <t>GabKoj</t>
        </is>
      </c>
      <c r="C459" t="inlineStr">
        <is>
          <t>Mentoring</t>
        </is>
      </c>
      <c r="D459" t="inlineStr">
        <is>
          <t>Support #69767: FR2-20240601-004 Service Level Agreements (SLA) standartinio funkcionalumo perkonfigūravimas</t>
        </is>
      </c>
      <c r="E459" t="inlineStr">
        <is>
          <t>visa pagalba Vilintui su SLA</t>
        </is>
      </c>
      <c r="F459" t="n">
        <v>4</v>
      </c>
      <c r="G459" t="inlineStr">
        <is>
          <t>No</t>
        </is>
      </c>
      <c r="H459">
        <f>+WEEKNUM(A459)</f>
        <v/>
      </c>
      <c r="I459">
        <f>+YEAR(A459)</f>
        <v/>
      </c>
    </row>
    <row r="460">
      <c r="A460" s="1" t="n">
        <v>45525</v>
      </c>
      <c r="B460" t="inlineStr">
        <is>
          <t>AliAni</t>
        </is>
      </c>
      <c r="C460" t="inlineStr">
        <is>
          <t>Developer</t>
        </is>
      </c>
      <c r="D460" t="inlineStr">
        <is>
          <t>Support #69787: FR3-240601-011 Vertimai English &gt; Lithuanian</t>
        </is>
      </c>
      <c r="E460" t="inlineStr">
        <is>
          <t>Vertimai LTG.</t>
        </is>
      </c>
      <c r="F460" t="n">
        <v>3</v>
      </c>
      <c r="G460" t="inlineStr">
        <is>
          <t>Yes</t>
        </is>
      </c>
      <c r="H460">
        <f>+WEEKNUM(A460)</f>
        <v/>
      </c>
      <c r="I460">
        <f>+YEAR(A460)</f>
        <v/>
      </c>
    </row>
    <row r="461">
      <c r="A461" s="1" t="n">
        <v>45525</v>
      </c>
      <c r="B461" t="inlineStr">
        <is>
          <t>AliAni</t>
        </is>
      </c>
      <c r="C461" t="inlineStr">
        <is>
          <t>Developer</t>
        </is>
      </c>
      <c r="D461" t="inlineStr">
        <is>
          <t>Support #69759: FR1-240601-007 Techninio projektavimo dokumento paruošimas anglų kalba</t>
        </is>
      </c>
      <c r="E461" t="inlineStr">
        <is>
          <t>Sppecifikacijos papildymas. https://goerp.sharepoint.com/:w:/s/GO-ERPCRM/ETxg-0_HctZIhE1BC6L8bY8BxjDHY5PumPsaxcojkzfS6g?e=r70QhT</t>
        </is>
      </c>
      <c r="F461" t="n">
        <v>2.45</v>
      </c>
      <c r="G461" t="inlineStr">
        <is>
          <t>No</t>
        </is>
      </c>
      <c r="H461">
        <f>+WEEKNUM(A461)</f>
        <v/>
      </c>
      <c r="I461">
        <f>+YEAR(A461)</f>
        <v/>
      </c>
    </row>
    <row r="462">
      <c r="A462" s="1" t="n">
        <v>45525</v>
      </c>
      <c r="B462" t="inlineStr">
        <is>
          <t>AliAni</t>
        </is>
      </c>
      <c r="C462" t="inlineStr">
        <is>
          <t>Developer</t>
        </is>
      </c>
      <c r="D462" t="inlineStr">
        <is>
          <t>Support #69785: FR3-240601-009 Teams Approvals - Adaptive Card korekcijos</t>
        </is>
      </c>
      <c r="E462" t="inlineStr">
        <is>
          <t xml:space="preserve">Testavimas. Patikrinau Flows dėl poreikių atitikimo. </t>
        </is>
      </c>
      <c r="F462" t="n">
        <v>1.25</v>
      </c>
      <c r="G462" t="inlineStr">
        <is>
          <t>No</t>
        </is>
      </c>
      <c r="H462">
        <f>+WEEKNUM(A462)</f>
        <v/>
      </c>
      <c r="I462">
        <f>+YEAR(A462)</f>
        <v/>
      </c>
    </row>
    <row r="463">
      <c r="A463" s="1" t="n">
        <v>45525</v>
      </c>
      <c r="B463" t="inlineStr">
        <is>
          <t>GabKoj</t>
        </is>
      </c>
      <c r="C463" t="inlineStr">
        <is>
          <t>Developer</t>
        </is>
      </c>
      <c r="D463" t="inlineStr">
        <is>
          <t>Support #69782: FR3-240601-006 Notification - Priminimai apie praėjusį užduoties laiką</t>
        </is>
      </c>
      <c r="E463" t="inlineStr">
        <is>
          <t>testing, flow review</t>
        </is>
      </c>
      <c r="F463" t="n">
        <v>0.25</v>
      </c>
      <c r="G463" t="inlineStr">
        <is>
          <t>Yes</t>
        </is>
      </c>
      <c r="H463">
        <f>+WEEKNUM(A463)</f>
        <v/>
      </c>
      <c r="I463">
        <f>+YEAR(A463)</f>
        <v/>
      </c>
    </row>
    <row r="464">
      <c r="A464" s="1" t="n">
        <v>45525</v>
      </c>
      <c r="B464" t="inlineStr">
        <is>
          <t>GabKoj</t>
        </is>
      </c>
      <c r="C464" t="inlineStr">
        <is>
          <t>Developer</t>
        </is>
      </c>
      <c r="D464" t="inlineStr">
        <is>
          <t>Support #69783: FR3-240601-007 Priminimų periodiškumo funkcija užduočių įrašuose</t>
        </is>
      </c>
      <c r="E464" t="inlineStr">
        <is>
          <t>testavimas</t>
        </is>
      </c>
      <c r="F464" t="n">
        <v>0.25</v>
      </c>
      <c r="G464" t="inlineStr">
        <is>
          <t>Yes</t>
        </is>
      </c>
      <c r="H464">
        <f>+WEEKNUM(A464)</f>
        <v/>
      </c>
      <c r="I464">
        <f>+YEAR(A464)</f>
        <v/>
      </c>
    </row>
    <row r="465">
      <c r="A465" s="1" t="n">
        <v>45525</v>
      </c>
      <c r="B465" t="inlineStr">
        <is>
          <t>GabKoj</t>
        </is>
      </c>
      <c r="C465" t="inlineStr">
        <is>
          <t>Developer</t>
        </is>
      </c>
      <c r="D465" t="inlineStr">
        <is>
          <t xml:space="preserve">Support #69780: FR3-240601-004 Automatinis Note įrašų sukūrimas ir priskyrimas Task įrašams </t>
        </is>
      </c>
      <c r="E465" t="inlineStr">
        <is>
          <t>alinos padarytų darbų peržiūra</t>
        </is>
      </c>
      <c r="F465" t="n">
        <v>0.25</v>
      </c>
      <c r="G465" t="inlineStr">
        <is>
          <t>Yes</t>
        </is>
      </c>
      <c r="H465">
        <f>+WEEKNUM(A465)</f>
        <v/>
      </c>
      <c r="I465">
        <f>+YEAR(A465)</f>
        <v/>
      </c>
    </row>
    <row r="466">
      <c r="A466" s="1" t="n">
        <v>45524</v>
      </c>
      <c r="B466" t="inlineStr">
        <is>
          <t>VilMat</t>
        </is>
      </c>
      <c r="C466" t="inlineStr">
        <is>
          <t>Consultant</t>
        </is>
      </c>
      <c r="D466" t="inlineStr">
        <is>
          <t>Support #69767: FR2-20240601-004 Service Level Agreements (SLA) standartinio funkcionalumo perkonfigūravimas</t>
        </is>
      </c>
      <c r="E466" t="inlineStr">
        <is>
          <t>SLA konfigūracija - perpratimas custom funkcijos, related workflow paieška, eiliškumas, korekcijos workflow'ams</t>
        </is>
      </c>
      <c r="F466" t="n">
        <v>5</v>
      </c>
      <c r="G466" t="inlineStr">
        <is>
          <t>No</t>
        </is>
      </c>
      <c r="H466">
        <f>+WEEKNUM(A466)</f>
        <v/>
      </c>
      <c r="I466">
        <f>+YEAR(A466)</f>
        <v/>
      </c>
    </row>
    <row r="467">
      <c r="A467" s="1" t="n">
        <v>45524</v>
      </c>
      <c r="B467" t="inlineStr">
        <is>
          <t>VilMat</t>
        </is>
      </c>
      <c r="C467" t="inlineStr">
        <is>
          <t>Consultant</t>
        </is>
      </c>
      <c r="D467" t="inlineStr">
        <is>
          <t>Support #69765: FR2-20240601-002 Verslo juostos(BPF) konfigūravimo darbai</t>
        </is>
      </c>
      <c r="E467" t="inlineStr">
        <is>
          <t>Korekcijos verslo proceso juostai - laukelių keitimas</t>
        </is>
      </c>
      <c r="F467" t="n">
        <v>1</v>
      </c>
      <c r="G467" t="inlineStr">
        <is>
          <t>Yes</t>
        </is>
      </c>
      <c r="H467">
        <f>+WEEKNUM(A467)</f>
        <v/>
      </c>
      <c r="I467">
        <f>+YEAR(A467)</f>
        <v/>
      </c>
    </row>
    <row r="468">
      <c r="A468" s="1" t="n">
        <v>45524</v>
      </c>
      <c r="B468" t="inlineStr">
        <is>
          <t>AliAni</t>
        </is>
      </c>
      <c r="C468" t="inlineStr">
        <is>
          <t>Learning</t>
        </is>
      </c>
      <c r="D468" t="inlineStr">
        <is>
          <t>Support #69785: FR3-240601-009 Teams Approvals - Adaptive Card korekcijos</t>
        </is>
      </c>
      <c r="E468" t="inlineStr">
        <is>
          <t>Užduoties analizė. Suradau esamą Flow. Nuspręsta su Vilintu nukopijuoti ir pataisyti pagal kliento poreikius</t>
        </is>
      </c>
      <c r="F468" t="n">
        <v>2.5</v>
      </c>
      <c r="G468" t="inlineStr">
        <is>
          <t>No</t>
        </is>
      </c>
      <c r="H468">
        <f>+WEEKNUM(A468)</f>
        <v/>
      </c>
      <c r="I468">
        <f>+YEAR(A468)</f>
        <v/>
      </c>
    </row>
    <row r="469">
      <c r="A469" s="1" t="n">
        <v>45524</v>
      </c>
      <c r="B469" t="inlineStr">
        <is>
          <t>AliAni</t>
        </is>
      </c>
      <c r="C469" t="inlineStr">
        <is>
          <t>Developer</t>
        </is>
      </c>
      <c r="D469" t="inlineStr">
        <is>
          <t>Support #69783: FR3-240601-007 Priminimų periodiškumo funkcija užduočių įrašuose</t>
        </is>
      </c>
      <c r="E469" t="inlineStr">
        <is>
          <t>Ieškojau būdo užrakinti lauką ne savininkui. Pasirinkau pridėti JS skriptą, kuris pagauna Current User reikšmę ir sulyginą su Owner</t>
        </is>
      </c>
      <c r="F469" t="n">
        <v>3.25</v>
      </c>
      <c r="G469" t="inlineStr">
        <is>
          <t>No</t>
        </is>
      </c>
      <c r="H469">
        <f>+WEEKNUM(A469)</f>
        <v/>
      </c>
      <c r="I469">
        <f>+YEAR(A469)</f>
        <v/>
      </c>
    </row>
    <row r="470">
      <c r="A470" s="1" t="n">
        <v>45524</v>
      </c>
      <c r="B470" t="inlineStr">
        <is>
          <t>AliAni</t>
        </is>
      </c>
      <c r="C470" t="inlineStr">
        <is>
          <t>Learning</t>
        </is>
      </c>
      <c r="D470" t="inlineStr">
        <is>
          <t>Support #69777: FR3-240601-001 Užduoties('Task') pagrindinės ir greitosios formos korekcijos</t>
        </is>
      </c>
      <c r="E470" t="inlineStr">
        <is>
          <t>Analizė</t>
        </is>
      </c>
      <c r="F470" t="n">
        <v>1</v>
      </c>
      <c r="G470" t="inlineStr">
        <is>
          <t>No</t>
        </is>
      </c>
      <c r="H470">
        <f>+WEEKNUM(A470)</f>
        <v/>
      </c>
      <c r="I470">
        <f>+YEAR(A470)</f>
        <v/>
      </c>
    </row>
    <row r="471">
      <c r="A471" s="1" t="n">
        <v>45524</v>
      </c>
      <c r="B471" t="inlineStr">
        <is>
          <t>AliAni</t>
        </is>
      </c>
      <c r="C471" t="inlineStr">
        <is>
          <t>Developer</t>
        </is>
      </c>
      <c r="D471" t="inlineStr">
        <is>
          <t>Support #69777: FR3-240601-001 Užduoties('Task') pagrindinės ir greitosios formos korekcijos</t>
        </is>
      </c>
      <c r="E471" t="inlineStr">
        <is>
          <t>Padaryti pakeitimai formose. Sukūrti laukeliai ir workflow perskirstymų skaičiavimui</t>
        </is>
      </c>
      <c r="F471" t="n">
        <v>1</v>
      </c>
      <c r="G471" t="inlineStr">
        <is>
          <t>Yes</t>
        </is>
      </c>
      <c r="H471">
        <f>+WEEKNUM(A471)</f>
        <v/>
      </c>
      <c r="I471">
        <f>+YEAR(A471)</f>
        <v/>
      </c>
    </row>
    <row r="472">
      <c r="A472" s="1" t="n">
        <v>45523</v>
      </c>
      <c r="B472" t="inlineStr">
        <is>
          <t>GabKoj</t>
        </is>
      </c>
      <c r="C472" t="inlineStr">
        <is>
          <t>Developer</t>
        </is>
      </c>
      <c r="D472" t="inlineStr">
        <is>
          <t>Support #69767: FR2-20240601-004 Service Level Agreements (SLA) standartinio funkcionalumo perkonfigūravimas</t>
        </is>
      </c>
      <c r="E472" t="inlineStr">
        <is>
          <t>call wit Vilintas, helping with SLA setup</t>
        </is>
      </c>
      <c r="F472" t="n">
        <v>1.25</v>
      </c>
      <c r="G472" t="inlineStr">
        <is>
          <t>No</t>
        </is>
      </c>
      <c r="H472">
        <f>+WEEKNUM(A472)</f>
        <v/>
      </c>
      <c r="I472">
        <f>+YEAR(A472)</f>
        <v/>
      </c>
    </row>
    <row r="473">
      <c r="A473" s="1" t="n">
        <v>45523</v>
      </c>
      <c r="B473" t="inlineStr">
        <is>
          <t>AliAni</t>
        </is>
      </c>
      <c r="C473" t="inlineStr">
        <is>
          <t>Developer</t>
        </is>
      </c>
      <c r="D473" t="inlineStr">
        <is>
          <t>Support #69782: FR3-240601-006 Notification - Priminimai apie praėjusį užduoties laiką</t>
        </is>
      </c>
      <c r="E473" t="inlineStr">
        <is>
          <t>Sukūrtas flow priminimams siųsti apie užduoties pabaigą</t>
        </is>
      </c>
      <c r="F473" t="n">
        <v>4.5</v>
      </c>
      <c r="G473" t="inlineStr">
        <is>
          <t>Yes</t>
        </is>
      </c>
      <c r="H473">
        <f>+WEEKNUM(A473)</f>
        <v/>
      </c>
      <c r="I473">
        <f>+YEAR(A473)</f>
        <v/>
      </c>
    </row>
    <row r="474">
      <c r="A474" s="1" t="n">
        <v>45523</v>
      </c>
      <c r="B474" t="inlineStr">
        <is>
          <t>AliAni</t>
        </is>
      </c>
      <c r="C474" t="inlineStr">
        <is>
          <t>Developer</t>
        </is>
      </c>
      <c r="D474" t="inlineStr">
        <is>
          <t>Support #69783: FR3-240601-007 Priminimų periodiškumo funkcija užduočių įrašuose</t>
        </is>
      </c>
      <c r="E474" t="inlineStr">
        <is>
          <t>Sukūrtas laukas "Siųsti pranešimus". Pridėtas į main ir Quick formas</t>
        </is>
      </c>
      <c r="F474" t="n">
        <v>0.5</v>
      </c>
      <c r="G474" t="inlineStr">
        <is>
          <t>Yes</t>
        </is>
      </c>
      <c r="H474">
        <f>+WEEKNUM(A474)</f>
        <v/>
      </c>
      <c r="I474">
        <f>+YEAR(A474)</f>
        <v/>
      </c>
    </row>
    <row r="475">
      <c r="A475" s="1" t="n">
        <v>45523</v>
      </c>
      <c r="B475" t="inlineStr">
        <is>
          <t>AliAni</t>
        </is>
      </c>
      <c r="C475" t="inlineStr">
        <is>
          <t>Meeting</t>
        </is>
      </c>
      <c r="D475" t="inlineStr">
        <is>
          <t>Support #69782: FR3-240601-006 Notification - Priminimai apie praėjusį užduoties laiką</t>
        </is>
      </c>
      <c r="E475" t="inlineStr">
        <is>
          <t>Aptarimas su Vilintu ir Gabrieliumi užduoties poreikio</t>
        </is>
      </c>
      <c r="F475" t="n">
        <v>0.5</v>
      </c>
      <c r="G475" t="inlineStr">
        <is>
          <t>No</t>
        </is>
      </c>
      <c r="H475">
        <f>+WEEKNUM(A475)</f>
        <v/>
      </c>
      <c r="I475">
        <f>+YEAR(A475)</f>
        <v/>
      </c>
    </row>
    <row r="476">
      <c r="A476" s="1" t="n">
        <v>45523</v>
      </c>
      <c r="B476" t="inlineStr">
        <is>
          <t>VilMat</t>
        </is>
      </c>
      <c r="C476" t="inlineStr">
        <is>
          <t>Consultant</t>
        </is>
      </c>
      <c r="D476" t="inlineStr">
        <is>
          <t>Support #68773: FR3 Užduočių funkcionalumo pakeitimai</t>
        </is>
      </c>
      <c r="E476" t="inlineStr">
        <is>
          <t>Vidinis pasitarimas dėl užduočių specifikos ir galutinio išpildymo</t>
        </is>
      </c>
      <c r="F476" t="n">
        <v>0.5</v>
      </c>
      <c r="G476" t="inlineStr">
        <is>
          <t>Yes</t>
        </is>
      </c>
      <c r="H476">
        <f>+WEEKNUM(A476)</f>
        <v/>
      </c>
      <c r="I476">
        <f>+YEAR(A476)</f>
        <v/>
      </c>
    </row>
    <row r="477">
      <c r="A477" s="1" t="n">
        <v>45523</v>
      </c>
      <c r="B477" t="inlineStr">
        <is>
          <t>AliAni</t>
        </is>
      </c>
      <c r="C477" t="inlineStr">
        <is>
          <t>Developer</t>
        </is>
      </c>
      <c r="D477" t="inlineStr">
        <is>
          <t xml:space="preserve">Support #69780: FR3-240601-004 Automatinis Note įrašų sukūrimas ir priskyrimas Task įrašams </t>
        </is>
      </c>
      <c r="E477" t="inlineStr">
        <is>
          <t>Sukūrti du flows laukų "Atsakymas" ir "Klausimas" pasikeitimams sugaudyti</t>
        </is>
      </c>
      <c r="F477" t="n">
        <v>2</v>
      </c>
      <c r="G477" t="inlineStr">
        <is>
          <t>Yes</t>
        </is>
      </c>
      <c r="H477">
        <f>+WEEKNUM(A477)</f>
        <v/>
      </c>
      <c r="I477">
        <f>+YEAR(A477)</f>
        <v/>
      </c>
    </row>
    <row r="478">
      <c r="A478" s="1" t="n">
        <v>45520</v>
      </c>
      <c r="B478" t="inlineStr">
        <is>
          <t>AliAni</t>
        </is>
      </c>
      <c r="C478" t="inlineStr">
        <is>
          <t>Learning</t>
        </is>
      </c>
      <c r="D478" t="inlineStr">
        <is>
          <t>Support #69782: FR3-240601-006 Notification - Priminimai apie praėjusį užduoties laiką</t>
        </is>
      </c>
      <c r="E478" t="inlineStr">
        <is>
          <t>Analizė. Perduotų užduočių analizė</t>
        </is>
      </c>
      <c r="F478" t="n">
        <v>3.5</v>
      </c>
      <c r="G478" t="inlineStr">
        <is>
          <t>No</t>
        </is>
      </c>
      <c r="H478">
        <f>+WEEKNUM(A478)</f>
        <v/>
      </c>
      <c r="I478">
        <f>+YEAR(A478)</f>
        <v/>
      </c>
    </row>
    <row r="479">
      <c r="A479" s="1" t="n">
        <v>45520</v>
      </c>
      <c r="B479" t="inlineStr">
        <is>
          <t>AliAni</t>
        </is>
      </c>
      <c r="C479" t="inlineStr">
        <is>
          <t>Learning</t>
        </is>
      </c>
      <c r="D479" t="inlineStr">
        <is>
          <t xml:space="preserve">Support #69780: FR3-240601-004 Automatinis Note įrašų sukūrimas ir priskyrimas Task įrašams </t>
        </is>
      </c>
      <c r="E479" t="inlineStr">
        <is>
          <t>Ieškojau būdo pagauti ankstesnio įrašo reikšmę. Flows pagauna naują suvestą. Norėjau į note įrašyti pakeitimą iš seno į naują.</t>
        </is>
      </c>
      <c r="F479" t="n">
        <v>2</v>
      </c>
      <c r="G479" t="inlineStr">
        <is>
          <t>No</t>
        </is>
      </c>
      <c r="H479">
        <f>+WEEKNUM(A479)</f>
        <v/>
      </c>
      <c r="I479">
        <f>+YEAR(A479)</f>
        <v/>
      </c>
    </row>
    <row r="480">
      <c r="A480" s="1" t="n">
        <v>45520</v>
      </c>
      <c r="B480" t="inlineStr">
        <is>
          <t>AliAni</t>
        </is>
      </c>
      <c r="C480" t="inlineStr">
        <is>
          <t>Developer</t>
        </is>
      </c>
      <c r="D480" t="inlineStr">
        <is>
          <t>Support #69784: FR3-240601-008 SLA skaičiavimo funkcijos kūrimas užduotims</t>
        </is>
      </c>
      <c r="E480" t="inlineStr">
        <is>
          <t>Sukūrti trūkstami laukai. Pakeista formą. Aprašymas pridėtas prie užduoties komentare</t>
        </is>
      </c>
      <c r="F480" t="n">
        <v>3</v>
      </c>
      <c r="G480" t="inlineStr">
        <is>
          <t>Yes</t>
        </is>
      </c>
      <c r="H480">
        <f>+WEEKNUM(A480)</f>
        <v/>
      </c>
      <c r="I480">
        <f>+YEAR(A480)</f>
        <v/>
      </c>
    </row>
    <row r="481">
      <c r="A481" s="1" t="n">
        <v>45520</v>
      </c>
      <c r="B481" t="inlineStr">
        <is>
          <t>VlaRaz</t>
        </is>
      </c>
      <c r="C481" t="inlineStr">
        <is>
          <t>Consultant</t>
        </is>
      </c>
      <c r="D481" t="inlineStr">
        <is>
          <t>Support #69775: FR2-20240601-012 Sprendinio migracijos į test ir production aplinkas bei testavimo(Test,Prod) darbai</t>
        </is>
      </c>
      <c r="E481" t="inlineStr">
        <is>
          <t>Vertimai.</t>
        </is>
      </c>
      <c r="F481" t="n">
        <v>2.25</v>
      </c>
      <c r="G481" t="inlineStr">
        <is>
          <t>Yes</t>
        </is>
      </c>
      <c r="H481">
        <f>+WEEKNUM(A481)</f>
        <v/>
      </c>
      <c r="I481">
        <f>+YEAR(A481)</f>
        <v/>
      </c>
    </row>
    <row r="482">
      <c r="A482" s="1" t="n">
        <v>45520</v>
      </c>
      <c r="B482" t="inlineStr">
        <is>
          <t>VilMat</t>
        </is>
      </c>
      <c r="C482" t="inlineStr">
        <is>
          <t>Consultant</t>
        </is>
      </c>
      <c r="D482" t="inlineStr">
        <is>
          <t>Support #68773: FR3 Užduočių funkcionalumo pakeitimai</t>
        </is>
      </c>
      <c r="E482" t="inlineStr">
        <is>
          <t>Overtime - Užduoties perdavimas Alinai, užduočių tikslinimas išdėstant specifiką.</t>
        </is>
      </c>
      <c r="F482" t="n">
        <v>2</v>
      </c>
      <c r="G482" t="inlineStr">
        <is>
          <t>Yes</t>
        </is>
      </c>
      <c r="H482">
        <f>+WEEKNUM(A482)</f>
        <v/>
      </c>
      <c r="I482">
        <f>+YEAR(A482)</f>
        <v/>
      </c>
    </row>
    <row r="483">
      <c r="A483" s="1" t="n">
        <v>45518</v>
      </c>
      <c r="B483" t="inlineStr">
        <is>
          <t>VilMat</t>
        </is>
      </c>
      <c r="C483" t="inlineStr">
        <is>
          <t>Consultant</t>
        </is>
      </c>
      <c r="D483" t="inlineStr">
        <is>
          <t>Support #69767: FR2-20240601-004 Service Level Agreements (SLA) standartinio funkcionalumo perkonfigūravimas</t>
        </is>
      </c>
      <c r="E483" t="inlineStr">
        <is>
          <t>SLA perdarymas ant custom sprendimo</t>
        </is>
      </c>
      <c r="F483" t="n">
        <v>2.5</v>
      </c>
      <c r="G483" t="inlineStr">
        <is>
          <t>No</t>
        </is>
      </c>
      <c r="H483">
        <f>+WEEKNUM(A483)</f>
        <v/>
      </c>
      <c r="I483">
        <f>+YEAR(A483)</f>
        <v/>
      </c>
    </row>
    <row r="484">
      <c r="A484" s="1" t="n">
        <v>45517</v>
      </c>
      <c r="B484" t="inlineStr">
        <is>
          <t>GabKoj</t>
        </is>
      </c>
      <c r="C484" t="inlineStr">
        <is>
          <t>Developer</t>
        </is>
      </c>
      <c r="D484" t="inlineStr">
        <is>
          <t>Support #69768: FR2-20240601-005 Process Stage Duration funkcionalumo perkonfigūravimas</t>
        </is>
      </c>
      <c r="E484" t="inlineStr">
        <is>
          <t>process stage, funkcionalumo pataisymai, kad nesidubliuotu process stage įrašai</t>
        </is>
      </c>
      <c r="F484" t="n">
        <v>2</v>
      </c>
      <c r="G484" t="inlineStr">
        <is>
          <t>Yes</t>
        </is>
      </c>
      <c r="H484">
        <f>+WEEKNUM(A484)</f>
        <v/>
      </c>
      <c r="I484">
        <f>+YEAR(A484)</f>
        <v/>
      </c>
    </row>
    <row r="485">
      <c r="A485" s="1" t="n">
        <v>45517</v>
      </c>
      <c r="B485" t="inlineStr">
        <is>
          <t>GabKoj</t>
        </is>
      </c>
      <c r="C485" t="inlineStr">
        <is>
          <t>Developer</t>
        </is>
      </c>
      <c r="D485" t="inlineStr">
        <is>
          <t>Support #69767: FR2-20240601-004 Service Level Agreements (SLA) standartinio funkcionalumo perkonfigūravimas</t>
        </is>
      </c>
      <c r="E485" t="inlineStr">
        <is>
          <t>sla konfiguravimas, call with Gytis, Vilintas. Standartinio SLA sukonfiguravimas</t>
        </is>
      </c>
      <c r="F485" t="n">
        <v>4</v>
      </c>
      <c r="G485" t="inlineStr">
        <is>
          <t>No</t>
        </is>
      </c>
      <c r="H485">
        <f>+WEEKNUM(A485)</f>
        <v/>
      </c>
      <c r="I485">
        <f>+YEAR(A485)</f>
        <v/>
      </c>
    </row>
    <row r="486">
      <c r="A486" s="1" t="n">
        <v>45517</v>
      </c>
      <c r="B486" t="inlineStr">
        <is>
          <t>VilMat</t>
        </is>
      </c>
      <c r="C486" t="inlineStr">
        <is>
          <t>Consultant</t>
        </is>
      </c>
      <c r="D486" t="inlineStr">
        <is>
          <t>Support #69767: FR2-20240601-004 Service Level Agreements (SLA) standartinio funkcionalumo perkonfigūravimas</t>
        </is>
      </c>
      <c r="E486" t="inlineStr">
        <is>
          <t>Call su Gabrieliumi - Skaičiavimo problemos, SLA perkonfigūravimas, LTG Vartotojo vadovas senajam setupui peržiūrėti</t>
        </is>
      </c>
      <c r="F486" t="n">
        <v>1.25</v>
      </c>
      <c r="G486" t="inlineStr">
        <is>
          <t>No</t>
        </is>
      </c>
      <c r="H486">
        <f>+WEEKNUM(A486)</f>
        <v/>
      </c>
      <c r="I486">
        <f>+YEAR(A486)</f>
        <v/>
      </c>
    </row>
    <row r="487">
      <c r="A487" s="1" t="n">
        <v>45517</v>
      </c>
      <c r="B487" t="inlineStr">
        <is>
          <t>VilMat</t>
        </is>
      </c>
      <c r="C487" t="inlineStr">
        <is>
          <t>Consultant</t>
        </is>
      </c>
      <c r="D487" t="inlineStr">
        <is>
          <t>Support #69768: FR2-20240601-005 Process Stage Duration funkcionalumo perkonfigūravimas</t>
        </is>
      </c>
      <c r="E487" t="inlineStr">
        <is>
          <t xml:space="preserve">Diskusija ir problemos paieška dėl dublikuojamų įrašų su Gabrieliumi </t>
        </is>
      </c>
      <c r="F487" t="n">
        <v>0.5</v>
      </c>
      <c r="G487" t="inlineStr">
        <is>
          <t>Yes</t>
        </is>
      </c>
      <c r="H487">
        <f>+WEEKNUM(A487)</f>
        <v/>
      </c>
      <c r="I487">
        <f>+YEAR(A487)</f>
        <v/>
      </c>
    </row>
    <row r="488">
      <c r="A488" s="1" t="n">
        <v>45516</v>
      </c>
      <c r="B488" t="inlineStr">
        <is>
          <t>GabKoj</t>
        </is>
      </c>
      <c r="C488" t="inlineStr">
        <is>
          <t>Developer</t>
        </is>
      </c>
      <c r="D488" t="inlineStr">
        <is>
          <t>Support #69764: FR2-20240601-001 Naujų laukų kūrimas Case įraše, esamų korekcijos</t>
        </is>
      </c>
      <c r="E488" t="inlineStr">
        <is>
          <t>case formos padubliavimas, js sudėjimas, jų pritaikymas kad veiktų abiems business procesams</t>
        </is>
      </c>
      <c r="F488" t="n">
        <v>3.5</v>
      </c>
      <c r="G488" t="inlineStr">
        <is>
          <t>Yes</t>
        </is>
      </c>
      <c r="H488">
        <f>+WEEKNUM(A488)</f>
        <v/>
      </c>
      <c r="I488">
        <f>+YEAR(A488)</f>
        <v/>
      </c>
    </row>
    <row r="489">
      <c r="A489" s="1" t="n">
        <v>45516</v>
      </c>
      <c r="B489" t="inlineStr">
        <is>
          <t>VilMat</t>
        </is>
      </c>
      <c r="C489" t="inlineStr">
        <is>
          <t>Consultant</t>
        </is>
      </c>
      <c r="D489" t="inlineStr">
        <is>
          <t>Support #69775: FR2-20240601-012 Sprendinio migracijos į test ir production aplinkas bei testavimo(Test,Prod) darbai</t>
        </is>
      </c>
      <c r="E489" t="inlineStr">
        <is>
          <t>Trūkstamos grandys perkeliant sprendinius į test, reikalingos korekcijos esamiems kodavimams pritaikytiems ant formos, skambutis su Gabrieliumi</t>
        </is>
      </c>
      <c r="F489" t="n">
        <v>1.5</v>
      </c>
      <c r="G489" t="inlineStr">
        <is>
          <t>Yes</t>
        </is>
      </c>
      <c r="H489">
        <f>+WEEKNUM(A489)</f>
        <v/>
      </c>
      <c r="I489">
        <f>+YEAR(A489)</f>
        <v/>
      </c>
    </row>
    <row r="490">
      <c r="A490" s="1" t="n">
        <v>45516</v>
      </c>
      <c r="B490" t="inlineStr">
        <is>
          <t>VlaRaz</t>
        </is>
      </c>
      <c r="C490" t="inlineStr">
        <is>
          <t>Consultant</t>
        </is>
      </c>
      <c r="D490" t="inlineStr">
        <is>
          <t>Support #69775: FR2-20240601-012 Sprendinio migracijos į test ir production aplinkas bei testavimo(Test,Prod) darbai</t>
        </is>
      </c>
      <c r="E490" t="inlineStr">
        <is>
          <t>Naujo solution kūrimas, meet su Vilintu.</t>
        </is>
      </c>
      <c r="F490" t="n">
        <v>1</v>
      </c>
      <c r="G490" t="inlineStr">
        <is>
          <t>Yes</t>
        </is>
      </c>
      <c r="H490">
        <f>+WEEKNUM(A490)</f>
        <v/>
      </c>
      <c r="I490">
        <f>+YEAR(A490)</f>
        <v/>
      </c>
    </row>
    <row r="491">
      <c r="A491" s="1" t="n">
        <v>45516</v>
      </c>
      <c r="B491" t="inlineStr">
        <is>
          <t>VilMat</t>
        </is>
      </c>
      <c r="C491" t="inlineStr">
        <is>
          <t>Consultant</t>
        </is>
      </c>
      <c r="D491" t="inlineStr">
        <is>
          <t>Support #69775: FR2-20240601-012 Sprendinio migracijos į test ir production aplinkas bei testavimo(Test,Prod) darbai</t>
        </is>
      </c>
      <c r="E491" t="inlineStr">
        <is>
          <t>Vlado vertimų klausimai</t>
        </is>
      </c>
      <c r="F491" t="n">
        <v>0.25</v>
      </c>
      <c r="G491" t="inlineStr">
        <is>
          <t>Yes</t>
        </is>
      </c>
      <c r="H491">
        <f>+WEEKNUM(A491)</f>
        <v/>
      </c>
      <c r="I491">
        <f>+YEAR(A491)</f>
        <v/>
      </c>
    </row>
    <row r="492">
      <c r="A492" s="1" t="n">
        <v>45516</v>
      </c>
      <c r="B492" t="inlineStr">
        <is>
          <t>VilMat</t>
        </is>
      </c>
      <c r="C492" t="inlineStr">
        <is>
          <t>Consultant</t>
        </is>
      </c>
      <c r="D492" t="inlineStr">
        <is>
          <t>Support #69775: FR2-20240601-012 Sprendinio migracijos į test ir production aplinkas bei testavimo(Test,Prod) darbai</t>
        </is>
      </c>
      <c r="E492" t="inlineStr">
        <is>
          <t>Vertimų poreikio paaiškinimai Vladui</t>
        </is>
      </c>
      <c r="F492" t="n">
        <v>0.5</v>
      </c>
      <c r="G492" t="inlineStr">
        <is>
          <t>Yes</t>
        </is>
      </c>
      <c r="H492">
        <f>+WEEKNUM(A492)</f>
        <v/>
      </c>
      <c r="I492">
        <f>+YEAR(A492)</f>
        <v/>
      </c>
    </row>
    <row r="493">
      <c r="A493" s="1" t="n">
        <v>45513</v>
      </c>
      <c r="B493" t="inlineStr">
        <is>
          <t>VilMat</t>
        </is>
      </c>
      <c r="C493" t="inlineStr">
        <is>
          <t>Consultant</t>
        </is>
      </c>
      <c r="D493" t="inlineStr">
        <is>
          <t>Support #69767: FR2-20240601-004 Service Level Agreements (SLA) standartinio funkcionalumo perkonfigūravimas</t>
        </is>
      </c>
      <c r="E493" t="inlineStr">
        <is>
          <t>Overtime - SLA konfigūravimas(part) bei kliūtis ir neskaičiavimas</t>
        </is>
      </c>
      <c r="F493" t="n">
        <v>5</v>
      </c>
      <c r="G493" t="inlineStr">
        <is>
          <t>No</t>
        </is>
      </c>
      <c r="H493">
        <f>+WEEKNUM(A493)</f>
        <v/>
      </c>
      <c r="I493">
        <f>+YEAR(A493)</f>
        <v/>
      </c>
    </row>
    <row r="494">
      <c r="A494" s="1" t="n">
        <v>45513</v>
      </c>
      <c r="B494" t="inlineStr">
        <is>
          <t>GabKoj</t>
        </is>
      </c>
      <c r="C494" t="inlineStr">
        <is>
          <t>Developer</t>
        </is>
      </c>
      <c r="D494" t="inlineStr">
        <is>
          <t>Support #69775: FR2-20240601-012 Sprendinio migracijos į test ir production aplinkas bei testavimo(Test,Prod) darbai</t>
        </is>
      </c>
      <c r="E494" t="inlineStr">
        <is>
          <t>calls with Gytis, solution mergin, deleting unmanaging layers and etc</t>
        </is>
      </c>
      <c r="F494" t="n">
        <v>8</v>
      </c>
      <c r="G494" t="inlineStr">
        <is>
          <t>Yes</t>
        </is>
      </c>
      <c r="H494">
        <f>+WEEKNUM(A494)</f>
        <v/>
      </c>
      <c r="I494">
        <f>+YEAR(A494)</f>
        <v/>
      </c>
    </row>
    <row r="495">
      <c r="A495" s="1" t="n">
        <v>45513</v>
      </c>
      <c r="B495" t="inlineStr">
        <is>
          <t>GytKav</t>
        </is>
      </c>
      <c r="C495" t="inlineStr">
        <is>
          <t>Consultant</t>
        </is>
      </c>
      <c r="D495" t="inlineStr">
        <is>
          <t>Support #69775: FR2-20240601-012 Sprendinio migracijos į test ir production aplinkas bei testavimo(Test,Prod) darbai</t>
        </is>
      </c>
      <c r="E495" t="inlineStr">
        <is>
          <t>help gabrielius with solutions and issues</t>
        </is>
      </c>
      <c r="F495" t="n">
        <v>1.5</v>
      </c>
      <c r="G495" t="inlineStr">
        <is>
          <t>Yes</t>
        </is>
      </c>
      <c r="H495">
        <f>+WEEKNUM(A495)</f>
        <v/>
      </c>
      <c r="I495">
        <f>+YEAR(A495)</f>
        <v/>
      </c>
    </row>
    <row r="496">
      <c r="A496" s="1" t="n">
        <v>45512</v>
      </c>
      <c r="B496" t="inlineStr">
        <is>
          <t>VilMat</t>
        </is>
      </c>
      <c r="C496" t="inlineStr">
        <is>
          <t>Consultant</t>
        </is>
      </c>
      <c r="D496" t="inlineStr">
        <is>
          <t>Support #69775: FR2-20240601-012 Sprendinio migracijos į test ir production aplinkas bei testavimo(Test,Prod) darbai</t>
        </is>
      </c>
      <c r="E496" t="inlineStr">
        <is>
          <t>Overtime - Perkėlimas - dependencies, unmanage layers, kartotiniai iškėlimai ir įkėlimai į Test aplinką</t>
        </is>
      </c>
      <c r="F496" t="n">
        <v>3</v>
      </c>
      <c r="G496" t="inlineStr">
        <is>
          <t>Yes</t>
        </is>
      </c>
      <c r="H496">
        <f>+WEEKNUM(A496)</f>
        <v/>
      </c>
      <c r="I496">
        <f>+YEAR(A496)</f>
        <v/>
      </c>
    </row>
    <row r="497">
      <c r="A497" s="1" t="n">
        <v>45511</v>
      </c>
      <c r="B497" t="inlineStr">
        <is>
          <t>VilMat</t>
        </is>
      </c>
      <c r="C497" t="inlineStr">
        <is>
          <t>Consultant</t>
        </is>
      </c>
      <c r="D497" t="inlineStr">
        <is>
          <t>Support #69764: FR2-20240601-001 Naujų laukų kūrimas Case įraše, esamų korekcijos</t>
        </is>
      </c>
      <c r="E497" t="inlineStr">
        <is>
          <t>Overtime - Main formos adjustment'ai, papildomi laukeliai pagal kliento excelį, papildomi business rule'ai ir esamų dapildymas</t>
        </is>
      </c>
      <c r="F497" t="n">
        <v>3.75</v>
      </c>
      <c r="G497" t="inlineStr">
        <is>
          <t>Yes</t>
        </is>
      </c>
      <c r="H497">
        <f>+WEEKNUM(A497)</f>
        <v/>
      </c>
      <c r="I497">
        <f>+YEAR(A497)</f>
        <v/>
      </c>
    </row>
    <row r="498">
      <c r="A498" s="1" t="n">
        <v>45511</v>
      </c>
      <c r="B498" t="inlineStr">
        <is>
          <t>VilMat</t>
        </is>
      </c>
      <c r="C498" t="inlineStr">
        <is>
          <t>Consultant</t>
        </is>
      </c>
      <c r="D498" t="inlineStr">
        <is>
          <t>Support #69766: FR2-20240601-003 Verslo taisyklių kūrimas</t>
        </is>
      </c>
      <c r="E498" t="inlineStr">
        <is>
          <t>Overtime - Papildomi workflow ir esamų workflow konfigūravimas/perkonfigūravimas priklausomai nuo proceso pasikeitimo dėl laukelių neteisingo funkcionavimo iki tol.</t>
        </is>
      </c>
      <c r="F498" t="n">
        <v>3</v>
      </c>
      <c r="G498" t="inlineStr">
        <is>
          <t>Yes</t>
        </is>
      </c>
      <c r="H498">
        <f>+WEEKNUM(A498)</f>
        <v/>
      </c>
      <c r="I498">
        <f>+YEAR(A498)</f>
        <v/>
      </c>
    </row>
    <row r="499">
      <c r="A499" s="1" t="n">
        <v>45511</v>
      </c>
      <c r="B499" t="inlineStr">
        <is>
          <t>VilMat</t>
        </is>
      </c>
      <c r="C499" t="inlineStr">
        <is>
          <t>Consultant</t>
        </is>
      </c>
      <c r="D499" t="inlineStr">
        <is>
          <t>Support #69766: FR2-20240601-003 Verslo taisyklių kūrimas</t>
        </is>
      </c>
      <c r="E499" t="inlineStr">
        <is>
          <t>Papildomo workflow formos laukų užkeitimui kūrimas ir testavimas</t>
        </is>
      </c>
      <c r="F499" t="n">
        <v>1.25</v>
      </c>
      <c r="G499" t="inlineStr">
        <is>
          <t>Yes</t>
        </is>
      </c>
      <c r="H499">
        <f>+WEEKNUM(A499)</f>
        <v/>
      </c>
      <c r="I499">
        <f>+YEAR(A499)</f>
        <v/>
      </c>
    </row>
    <row r="500">
      <c r="A500" s="1" t="n">
        <v>45511</v>
      </c>
      <c r="B500" t="inlineStr">
        <is>
          <t>VilMat</t>
        </is>
      </c>
      <c r="C500" t="inlineStr">
        <is>
          <t>Consultant</t>
        </is>
      </c>
      <c r="D500" t="inlineStr">
        <is>
          <t>Support #69765: FR2-20240601-002 Verslo juostos(BPF) konfigūravimo darbai</t>
        </is>
      </c>
      <c r="E500" t="inlineStr">
        <is>
          <t>Overtime - Papildomi laukeliai ir Workflow procesas BPF procesui</t>
        </is>
      </c>
      <c r="F500" t="n">
        <v>1</v>
      </c>
      <c r="G500" t="inlineStr">
        <is>
          <t>Yes</t>
        </is>
      </c>
      <c r="H500">
        <f>+WEEKNUM(A500)</f>
        <v/>
      </c>
      <c r="I500">
        <f>+YEAR(A500)</f>
        <v/>
      </c>
    </row>
    <row r="501">
      <c r="A501" s="1" t="n">
        <v>45511</v>
      </c>
      <c r="B501" t="inlineStr">
        <is>
          <t>VilMat</t>
        </is>
      </c>
      <c r="C501" t="inlineStr">
        <is>
          <t>Consultant</t>
        </is>
      </c>
      <c r="D501" t="inlineStr">
        <is>
          <t>Support #69765: FR2-20240601-002 Verslo juostos(BPF) konfigūravimo darbai</t>
        </is>
      </c>
      <c r="E501" t="inlineStr">
        <is>
          <t>BPF konfigūravimas</t>
        </is>
      </c>
      <c r="F501" t="n">
        <v>4</v>
      </c>
      <c r="G501" t="inlineStr">
        <is>
          <t>Yes</t>
        </is>
      </c>
      <c r="H501">
        <f>+WEEKNUM(A501)</f>
        <v/>
      </c>
      <c r="I501">
        <f>+YEAR(A501)</f>
        <v/>
      </c>
    </row>
    <row r="502">
      <c r="A502" s="1" t="n">
        <v>45511</v>
      </c>
      <c r="B502" t="inlineStr">
        <is>
          <t>GabKoj</t>
        </is>
      </c>
      <c r="C502" t="inlineStr">
        <is>
          <t>Developer</t>
        </is>
      </c>
      <c r="D502" t="inlineStr">
        <is>
          <t>Support #69765: FR2-20240601-002 Verslo juostos(BPF) konfigūravimo darbai</t>
        </is>
      </c>
      <c r="E502" t="inlineStr">
        <is>
          <t>call With Vilintas, dėl process template</t>
        </is>
      </c>
      <c r="F502" t="n">
        <v>0.5</v>
      </c>
      <c r="G502" t="inlineStr">
        <is>
          <t>Yes</t>
        </is>
      </c>
      <c r="H502">
        <f>+WEEKNUM(A502)</f>
        <v/>
      </c>
      <c r="I502">
        <f>+YEAR(A502)</f>
        <v/>
      </c>
    </row>
    <row r="503">
      <c r="A503" s="1" t="n">
        <v>45511</v>
      </c>
      <c r="B503" t="inlineStr">
        <is>
          <t>VilMat</t>
        </is>
      </c>
      <c r="C503" t="inlineStr">
        <is>
          <t>Consultant</t>
        </is>
      </c>
      <c r="D503" t="inlineStr">
        <is>
          <t>Support #69765: FR2-20240601-002 Verslo juostos(BPF) konfigūravimo darbai</t>
        </is>
      </c>
      <c r="E503" t="inlineStr">
        <is>
          <t>Workflow kopijavimas, funkcijos panaudojimas</t>
        </is>
      </c>
      <c r="F503" t="n">
        <v>0.5</v>
      </c>
      <c r="G503" t="inlineStr">
        <is>
          <t>Yes</t>
        </is>
      </c>
      <c r="H503">
        <f>+WEEKNUM(A503)</f>
        <v/>
      </c>
      <c r="I503">
        <f>+YEAR(A503)</f>
        <v/>
      </c>
    </row>
    <row r="504">
      <c r="A504" s="1" t="n">
        <v>45511</v>
      </c>
      <c r="B504" t="inlineStr">
        <is>
          <t>GabKoj</t>
        </is>
      </c>
      <c r="C504" t="inlineStr">
        <is>
          <t>Developer</t>
        </is>
      </c>
      <c r="D504" t="inlineStr">
        <is>
          <t>Support #69765: FR2-20240601-002 Verslo juostos(BPF) konfigūravimo darbai</t>
        </is>
      </c>
      <c r="E504" t="inlineStr">
        <is>
          <t>call with Vilintas, dev js</t>
        </is>
      </c>
      <c r="F504" t="n">
        <v>1.25</v>
      </c>
      <c r="G504" t="inlineStr">
        <is>
          <t>Yes</t>
        </is>
      </c>
      <c r="H504">
        <f>+WEEKNUM(A504)</f>
        <v/>
      </c>
      <c r="I504">
        <f>+YEAR(A504)</f>
        <v/>
      </c>
    </row>
    <row r="505">
      <c r="A505" s="1" t="n">
        <v>45510</v>
      </c>
      <c r="B505" t="inlineStr">
        <is>
          <t>VilMat</t>
        </is>
      </c>
      <c r="C505" t="inlineStr">
        <is>
          <t>Consultant</t>
        </is>
      </c>
      <c r="D505" t="inlineStr">
        <is>
          <t>Support #69765: FR2-20240601-002 Verslo juostos(BPF) konfigūravimo darbai</t>
        </is>
      </c>
      <c r="E505" t="inlineStr">
        <is>
          <t>Overtime - Pagrindinio workflow šokinėti per stage kopijų kūrimas kiekvienam atskiram sekančio žingsnio pasirinkimui ir papildomai keitimai bei testavimas BPF juostos po pakeitimų</t>
        </is>
      </c>
      <c r="F505" t="n">
        <v>3.5</v>
      </c>
      <c r="G505" t="inlineStr">
        <is>
          <t>Yes</t>
        </is>
      </c>
      <c r="H505">
        <f>+WEEKNUM(A505)</f>
        <v/>
      </c>
      <c r="I505">
        <f>+YEAR(A505)</f>
        <v/>
      </c>
    </row>
    <row r="506">
      <c r="A506" s="1" t="n">
        <v>45510</v>
      </c>
      <c r="B506" t="inlineStr">
        <is>
          <t>VilMat</t>
        </is>
      </c>
      <c r="C506" t="inlineStr">
        <is>
          <t>Consultant</t>
        </is>
      </c>
      <c r="D506" t="inlineStr">
        <is>
          <t>Support #69765: FR2-20240601-002 Verslo juostos(BPF) konfigūravimo darbai</t>
        </is>
      </c>
      <c r="E506" t="inlineStr">
        <is>
          <t>Naujausios versijos BPF šokinėjimo tarp stage workflow adaptacija papildomais filtrais</t>
        </is>
      </c>
      <c r="F506" t="n">
        <v>2</v>
      </c>
      <c r="G506" t="inlineStr">
        <is>
          <t>Yes</t>
        </is>
      </c>
      <c r="H506">
        <f>+WEEKNUM(A506)</f>
        <v/>
      </c>
      <c r="I506">
        <f>+YEAR(A506)</f>
        <v/>
      </c>
    </row>
    <row r="507">
      <c r="A507" s="1" t="n">
        <v>45510</v>
      </c>
      <c r="B507" t="inlineStr">
        <is>
          <t>VilMat</t>
        </is>
      </c>
      <c r="C507" t="inlineStr">
        <is>
          <t>Consultant</t>
        </is>
      </c>
      <c r="D507" t="inlineStr">
        <is>
          <t>Support #69753: FR1-240601-001 Naujas modulis "Case Subjects"</t>
        </is>
      </c>
      <c r="E507" t="inlineStr">
        <is>
          <t>Laukelių papildymas fiksuoti tikslingiau informaciją</t>
        </is>
      </c>
      <c r="F507" t="n">
        <v>0.5</v>
      </c>
      <c r="G507" t="inlineStr">
        <is>
          <t>Yes</t>
        </is>
      </c>
      <c r="H507">
        <f>+WEEKNUM(A507)</f>
        <v/>
      </c>
      <c r="I507">
        <f>+YEAR(A507)</f>
        <v/>
      </c>
    </row>
    <row r="508">
      <c r="A508" s="1" t="n">
        <v>45510</v>
      </c>
      <c r="B508" t="inlineStr">
        <is>
          <t>VilMat</t>
        </is>
      </c>
      <c r="C508" t="inlineStr">
        <is>
          <t>Consultant</t>
        </is>
      </c>
      <c r="D508" t="inlineStr">
        <is>
          <t>Support #69765: FR2-20240601-002 Verslo juostos(BPF) konfigūravimo darbai</t>
        </is>
      </c>
      <c r="E508" t="inlineStr">
        <is>
          <t>Overtime - papildomo workflow kūrimas keisti statusus pagal bpf stage statusą</t>
        </is>
      </c>
      <c r="F508" t="n">
        <v>1</v>
      </c>
      <c r="G508" t="inlineStr">
        <is>
          <t>Yes</t>
        </is>
      </c>
      <c r="H508">
        <f>+WEEKNUM(A508)</f>
        <v/>
      </c>
      <c r="I508">
        <f>+YEAR(A508)</f>
        <v/>
      </c>
    </row>
    <row r="509">
      <c r="A509" s="1" t="n">
        <v>45510</v>
      </c>
      <c r="B509" t="inlineStr">
        <is>
          <t>VilMat</t>
        </is>
      </c>
      <c r="C509" t="inlineStr">
        <is>
          <t>Consultant</t>
        </is>
      </c>
      <c r="D509" t="inlineStr">
        <is>
          <t>Support #69767: FR2-20240601-004 Service Level Agreements (SLA) standartinio funkcionalumo perkonfigūravimas</t>
        </is>
      </c>
      <c r="E509" t="inlineStr">
        <is>
          <t>Overtime - Konfigūravimas SLA (part)</t>
        </is>
      </c>
      <c r="F509" t="n">
        <v>2</v>
      </c>
      <c r="G509" t="inlineStr">
        <is>
          <t>No</t>
        </is>
      </c>
      <c r="H509">
        <f>+WEEKNUM(A509)</f>
        <v/>
      </c>
      <c r="I509">
        <f>+YEAR(A509)</f>
        <v/>
      </c>
    </row>
    <row r="510">
      <c r="A510" s="1" t="n">
        <v>45510</v>
      </c>
      <c r="B510" t="inlineStr">
        <is>
          <t>VilMat</t>
        </is>
      </c>
      <c r="C510" t="inlineStr">
        <is>
          <t>Consultant</t>
        </is>
      </c>
      <c r="D510" t="inlineStr">
        <is>
          <t>Support #69767: FR2-20240601-004 Service Level Agreements (SLA) standartinio funkcionalumo perkonfigūravimas</t>
        </is>
      </c>
      <c r="E510" t="inlineStr">
        <is>
          <t>Konfigūracija(part)</t>
        </is>
      </c>
      <c r="F510" t="n">
        <v>1.25</v>
      </c>
      <c r="G510" t="inlineStr">
        <is>
          <t>No</t>
        </is>
      </c>
      <c r="H510">
        <f>+WEEKNUM(A510)</f>
        <v/>
      </c>
      <c r="I510">
        <f>+YEAR(A510)</f>
        <v/>
      </c>
    </row>
    <row r="511">
      <c r="A511" s="1" t="n">
        <v>45510</v>
      </c>
      <c r="B511" t="inlineStr">
        <is>
          <t>VilMat</t>
        </is>
      </c>
      <c r="C511" t="inlineStr">
        <is>
          <t>Consultant</t>
        </is>
      </c>
      <c r="D511" t="inlineStr">
        <is>
          <t>Support #69765: FR2-20240601-002 Verslo juostos(BPF) konfigūravimo darbai</t>
        </is>
      </c>
      <c r="E511" t="inlineStr">
        <is>
          <t>Laukelių dėliojimas į etapus, taisyklių pritaikymas</t>
        </is>
      </c>
      <c r="F511" t="n">
        <v>1.25</v>
      </c>
      <c r="G511" t="inlineStr">
        <is>
          <t>Yes</t>
        </is>
      </c>
      <c r="H511">
        <f>+WEEKNUM(A511)</f>
        <v/>
      </c>
      <c r="I511">
        <f>+YEAR(A511)</f>
        <v/>
      </c>
    </row>
    <row r="512">
      <c r="A512" s="1" t="n">
        <v>45509</v>
      </c>
      <c r="B512" t="inlineStr">
        <is>
          <t>VilMat</t>
        </is>
      </c>
      <c r="C512" t="inlineStr">
        <is>
          <t>Consultant</t>
        </is>
      </c>
      <c r="D512" t="inlineStr">
        <is>
          <t>Support #69765: FR2-20240601-002 Verslo juostos(BPF) konfigūravimo darbai</t>
        </is>
      </c>
      <c r="E512" t="inlineStr">
        <is>
          <t>Overtime - Pagrindinio Stage šokinėjimo workflow perkūrimas ir adaptavimas pagal naujausią logiką</t>
        </is>
      </c>
      <c r="F512" t="n">
        <v>4.5</v>
      </c>
      <c r="G512" t="inlineStr">
        <is>
          <t>Yes</t>
        </is>
      </c>
      <c r="H512">
        <f>+WEEKNUM(A512)</f>
        <v/>
      </c>
      <c r="I512">
        <f>+YEAR(A512)</f>
        <v/>
      </c>
    </row>
    <row r="513">
      <c r="A513" s="1" t="n">
        <v>45509</v>
      </c>
      <c r="B513" t="inlineStr">
        <is>
          <t>VilMat</t>
        </is>
      </c>
      <c r="C513" t="inlineStr">
        <is>
          <t>Consultant</t>
        </is>
      </c>
      <c r="D513" t="inlineStr">
        <is>
          <t>Support #69755: FR1-240601-003 "Convert To Case" formos programavimas</t>
        </is>
      </c>
      <c r="E513" t="inlineStr">
        <is>
          <t>Formos testavimas</t>
        </is>
      </c>
      <c r="F513" t="n">
        <v>0.25</v>
      </c>
      <c r="G513" t="inlineStr">
        <is>
          <t>Yes</t>
        </is>
      </c>
      <c r="H513">
        <f>+WEEKNUM(A513)</f>
        <v/>
      </c>
      <c r="I513">
        <f>+YEAR(A513)</f>
        <v/>
      </c>
    </row>
    <row r="514">
      <c r="A514" s="1" t="n">
        <v>45509</v>
      </c>
      <c r="B514" t="inlineStr">
        <is>
          <t>VilMat</t>
        </is>
      </c>
      <c r="C514" t="inlineStr">
        <is>
          <t>Consultant</t>
        </is>
      </c>
      <c r="D514" t="inlineStr">
        <is>
          <t>Support #69754: FR1-240601-002 Naujas unikalus mygtukas "Convert To Case"</t>
        </is>
      </c>
      <c r="E514" t="inlineStr">
        <is>
          <t>Funkcijos testavimas</t>
        </is>
      </c>
      <c r="F514" t="n">
        <v>0.25</v>
      </c>
      <c r="G514" t="inlineStr">
        <is>
          <t>Yes</t>
        </is>
      </c>
      <c r="H514">
        <f>+WEEKNUM(A514)</f>
        <v/>
      </c>
      <c r="I514">
        <f>+YEAR(A514)</f>
        <v/>
      </c>
    </row>
    <row r="515">
      <c r="A515" s="1" t="n">
        <v>45509</v>
      </c>
      <c r="B515" t="inlineStr">
        <is>
          <t>VilMat</t>
        </is>
      </c>
      <c r="C515" t="inlineStr">
        <is>
          <t>Consultant</t>
        </is>
      </c>
      <c r="D515" t="inlineStr">
        <is>
          <t>Support #69768: FR2-20240601-005 Process Stage Duration funkcionalumo perkonfigūravimas</t>
        </is>
      </c>
      <c r="E515" t="inlineStr">
        <is>
          <t>Funkcijos testavimas</t>
        </is>
      </c>
      <c r="F515" t="n">
        <v>1</v>
      </c>
      <c r="G515" t="inlineStr">
        <is>
          <t>Yes</t>
        </is>
      </c>
      <c r="H515">
        <f>+WEEKNUM(A515)</f>
        <v/>
      </c>
      <c r="I515">
        <f>+YEAR(A515)</f>
        <v/>
      </c>
    </row>
    <row r="516">
      <c r="A516" s="1" t="n">
        <v>45509</v>
      </c>
      <c r="B516" t="inlineStr">
        <is>
          <t>VilMat</t>
        </is>
      </c>
      <c r="C516" t="inlineStr">
        <is>
          <t>Consultant</t>
        </is>
      </c>
      <c r="D516" t="inlineStr">
        <is>
          <t>Support #69764: FR2-20240601-001 Naujų laukų kūrimas Case įraše, esamų korekcijos</t>
        </is>
      </c>
      <c r="E516" t="inlineStr">
        <is>
          <t>Formos keitimai, business rules kūrimai</t>
        </is>
      </c>
      <c r="F516" t="n">
        <v>2</v>
      </c>
      <c r="G516" t="inlineStr">
        <is>
          <t>Yes</t>
        </is>
      </c>
      <c r="H516">
        <f>+WEEKNUM(A516)</f>
        <v/>
      </c>
      <c r="I516">
        <f>+YEAR(A516)</f>
        <v/>
      </c>
    </row>
    <row r="517">
      <c r="A517" s="1" t="n">
        <v>45509</v>
      </c>
      <c r="B517" t="inlineStr">
        <is>
          <t>VilMat</t>
        </is>
      </c>
      <c r="C517" t="inlineStr">
        <is>
          <t>Consultant</t>
        </is>
      </c>
      <c r="D517" t="inlineStr">
        <is>
          <t>Support #69764: FR2-20240601-001 Naujų laukų kūrimas Case įraše, esamų korekcijos</t>
        </is>
      </c>
      <c r="E517" t="inlineStr">
        <is>
          <t>Overtime - Formų ir susijusių laukų vienodinimas tarp Test ir Dev</t>
        </is>
      </c>
      <c r="F517" t="n">
        <v>1.5</v>
      </c>
      <c r="G517" t="inlineStr">
        <is>
          <t>Yes</t>
        </is>
      </c>
      <c r="H517">
        <f>+WEEKNUM(A517)</f>
        <v/>
      </c>
      <c r="I517">
        <f>+YEAR(A517)</f>
        <v/>
      </c>
    </row>
    <row r="518">
      <c r="A518" s="1" t="n">
        <v>45509</v>
      </c>
      <c r="B518" t="inlineStr">
        <is>
          <t>VilMat</t>
        </is>
      </c>
      <c r="C518" t="inlineStr">
        <is>
          <t>Consultant</t>
        </is>
      </c>
      <c r="D518" t="inlineStr">
        <is>
          <t>Support #69755: FR1-240601-003 "Convert To Case" formos programavimas</t>
        </is>
      </c>
      <c r="E518" t="inlineStr">
        <is>
          <t>Overtime - Funkcijos testavimas</t>
        </is>
      </c>
      <c r="F518" t="n">
        <v>0.5</v>
      </c>
      <c r="G518" t="inlineStr">
        <is>
          <t>Yes</t>
        </is>
      </c>
      <c r="H518">
        <f>+WEEKNUM(A518)</f>
        <v/>
      </c>
      <c r="I518">
        <f>+YEAR(A518)</f>
        <v/>
      </c>
    </row>
    <row r="519">
      <c r="A519" s="1" t="n">
        <v>45509</v>
      </c>
      <c r="B519" t="inlineStr">
        <is>
          <t>VilMat</t>
        </is>
      </c>
      <c r="C519" t="inlineStr">
        <is>
          <t>Consultant</t>
        </is>
      </c>
      <c r="D519" t="inlineStr">
        <is>
          <t>Support #69753: FR1-240601-001 Naujas modulis "Case Subjects"</t>
        </is>
      </c>
      <c r="E519" t="inlineStr">
        <is>
          <t>Overtime - Modifikacijos entičiui, laukeliai, taisyklės, test įrašai</t>
        </is>
      </c>
      <c r="F519" t="n">
        <v>1.5</v>
      </c>
      <c r="G519" t="inlineStr">
        <is>
          <t>Yes</t>
        </is>
      </c>
      <c r="H519">
        <f>+WEEKNUM(A519)</f>
        <v/>
      </c>
      <c r="I519">
        <f>+YEAR(A519)</f>
        <v/>
      </c>
    </row>
    <row r="520">
      <c r="A520" s="1" t="n">
        <v>45509</v>
      </c>
      <c r="B520" t="inlineStr">
        <is>
          <t>VilMat</t>
        </is>
      </c>
      <c r="C520" t="inlineStr">
        <is>
          <t>Consultant</t>
        </is>
      </c>
      <c r="D520" t="inlineStr">
        <is>
          <t>Support #69765: FR2-20240601-002 Verslo juostos(BPF) konfigūravimo darbai</t>
        </is>
      </c>
      <c r="E520" t="inlineStr">
        <is>
          <t>Overtime - BPF workflow perkūrimas, problemos pašalinimas</t>
        </is>
      </c>
      <c r="F520" t="n">
        <v>2.5</v>
      </c>
      <c r="G520" t="inlineStr">
        <is>
          <t>Yes</t>
        </is>
      </c>
      <c r="H520">
        <f>+WEEKNUM(A520)</f>
        <v/>
      </c>
      <c r="I520">
        <f>+YEAR(A520)</f>
        <v/>
      </c>
    </row>
    <row r="521">
      <c r="A521" s="1" t="n">
        <v>45506</v>
      </c>
      <c r="B521" t="inlineStr">
        <is>
          <t>GabKoj</t>
        </is>
      </c>
      <c r="C521" t="inlineStr">
        <is>
          <t>Developer</t>
        </is>
      </c>
      <c r="D521" t="inlineStr">
        <is>
          <t>Support #69768: FR2-20240601-005 Process Stage Duration funkcionalumo perkonfigūravimas</t>
        </is>
      </c>
      <c r="E521" t="inlineStr">
        <is>
          <t>flow dev, testing</t>
        </is>
      </c>
      <c r="F521" t="n">
        <v>3.25</v>
      </c>
      <c r="G521" t="inlineStr">
        <is>
          <t>Yes</t>
        </is>
      </c>
      <c r="H521">
        <f>+WEEKNUM(A521)</f>
        <v/>
      </c>
      <c r="I521">
        <f>+YEAR(A521)</f>
        <v/>
      </c>
    </row>
    <row r="522">
      <c r="A522" s="1" t="n">
        <v>45506</v>
      </c>
      <c r="B522" t="inlineStr">
        <is>
          <t>VilMat</t>
        </is>
      </c>
      <c r="C522" t="inlineStr">
        <is>
          <t>Consultant</t>
        </is>
      </c>
      <c r="D522" t="inlineStr">
        <is>
          <t>Support #69768: FR2-20240601-005 Process Stage Duration funkcionalumo perkonfigūravimas</t>
        </is>
      </c>
      <c r="E522" t="inlineStr">
        <is>
          <t>Overtime - Funkcijos tikrinimas ir tikslinimasis su programuotoju, skambučiai</t>
        </is>
      </c>
      <c r="F522" t="n">
        <v>0.75</v>
      </c>
      <c r="G522" t="inlineStr">
        <is>
          <t>Yes</t>
        </is>
      </c>
      <c r="H522">
        <f>+WEEKNUM(A522)</f>
        <v/>
      </c>
      <c r="I522">
        <f>+YEAR(A522)</f>
        <v/>
      </c>
    </row>
    <row r="523">
      <c r="A523" s="1" t="n">
        <v>45506</v>
      </c>
      <c r="B523" t="inlineStr">
        <is>
          <t>VilMat</t>
        </is>
      </c>
      <c r="C523" t="inlineStr">
        <is>
          <t>Consultant</t>
        </is>
      </c>
      <c r="D523" t="inlineStr">
        <is>
          <t>Support #69765: FR2-20240601-002 Verslo juostos(BPF) konfigūravimo darbai</t>
        </is>
      </c>
      <c r="E523" t="inlineStr">
        <is>
          <t>Overtime - Proceso juostos šokinėjimo tarp etapų problemos sprendimo būdų ieškojimas</t>
        </is>
      </c>
      <c r="F523" t="n">
        <v>2</v>
      </c>
      <c r="G523" t="inlineStr">
        <is>
          <t>Yes</t>
        </is>
      </c>
      <c r="H523">
        <f>+WEEKNUM(A523)</f>
        <v/>
      </c>
      <c r="I523">
        <f>+YEAR(A523)</f>
        <v/>
      </c>
    </row>
    <row r="524">
      <c r="A524" s="1" t="n">
        <v>45506</v>
      </c>
      <c r="B524" t="inlineStr">
        <is>
          <t>VilMat</t>
        </is>
      </c>
      <c r="C524" t="inlineStr">
        <is>
          <t>Consultant</t>
        </is>
      </c>
      <c r="D524" t="inlineStr">
        <is>
          <t>Support #69767: FR2-20240601-004 Service Level Agreements (SLA) standartinio funkcionalumo perkonfigūravimas</t>
        </is>
      </c>
      <c r="E524" t="inlineStr">
        <is>
          <t>Dokumentacija</t>
        </is>
      </c>
      <c r="F524" t="n">
        <v>1</v>
      </c>
      <c r="G524" t="inlineStr">
        <is>
          <t>No</t>
        </is>
      </c>
      <c r="H524">
        <f>+WEEKNUM(A524)</f>
        <v/>
      </c>
      <c r="I524">
        <f>+YEAR(A524)</f>
        <v/>
      </c>
    </row>
    <row r="525">
      <c r="A525" s="1" t="n">
        <v>45505</v>
      </c>
      <c r="B525" t="inlineStr">
        <is>
          <t>GabKoj</t>
        </is>
      </c>
      <c r="C525" t="inlineStr">
        <is>
          <t>Developer</t>
        </is>
      </c>
      <c r="D525" t="inlineStr">
        <is>
          <t>Support #69769: FR2-20240601-006 Priminimų siuntimo užklausų atsakingiems asmenims flow proceso kūrimas</t>
        </is>
      </c>
      <c r="E525" t="inlineStr">
        <is>
          <t>flow peržiūra, small feedback</t>
        </is>
      </c>
      <c r="F525" t="n">
        <v>0.25</v>
      </c>
      <c r="G525" t="inlineStr">
        <is>
          <t>Yes</t>
        </is>
      </c>
      <c r="H525">
        <f>+WEEKNUM(A525)</f>
        <v/>
      </c>
      <c r="I525">
        <f>+YEAR(A525)</f>
        <v/>
      </c>
    </row>
    <row r="526">
      <c r="A526" s="1" t="n">
        <v>45505</v>
      </c>
      <c r="B526" t="inlineStr">
        <is>
          <t>AliAni</t>
        </is>
      </c>
      <c r="C526" t="inlineStr">
        <is>
          <t>Developer</t>
        </is>
      </c>
      <c r="D526" t="inlineStr">
        <is>
          <t>Support #69769: FR2-20240601-006 Priminimų siuntimo užklausų atsakingiems asmenims flow proceso kūrimas</t>
        </is>
      </c>
      <c r="E526" t="inlineStr">
        <is>
          <t>Patvarkytos pastabos. Pridėta Update a row, kuri keičia notification status laiško išsiuntimo metu.</t>
        </is>
      </c>
      <c r="F526" t="n">
        <v>1</v>
      </c>
      <c r="G526" t="inlineStr">
        <is>
          <t>Yes</t>
        </is>
      </c>
      <c r="H526">
        <f>+WEEKNUM(A526)</f>
        <v/>
      </c>
      <c r="I526">
        <f>+YEAR(A526)</f>
        <v/>
      </c>
    </row>
    <row r="527">
      <c r="A527" s="1" t="n">
        <v>45505</v>
      </c>
      <c r="B527" t="inlineStr">
        <is>
          <t>AliAni</t>
        </is>
      </c>
      <c r="C527" t="inlineStr">
        <is>
          <t>Developer</t>
        </is>
      </c>
      <c r="D527" t="inlineStr">
        <is>
          <t>Support #69779: FR3-240601-003 Notification - Notification about Closed Task</t>
        </is>
      </c>
      <c r="E527" t="inlineStr">
        <is>
          <t>Sukurtas cloud flow "send Notification about closing Task", kuris siunčia pranešimus pasikeitus task statusui į "Completed" or "Canceled"</t>
        </is>
      </c>
      <c r="F527" t="n">
        <v>2</v>
      </c>
      <c r="G527" t="inlineStr">
        <is>
          <t>Yes</t>
        </is>
      </c>
      <c r="H527">
        <f>+WEEKNUM(A527)</f>
        <v/>
      </c>
      <c r="I527">
        <f>+YEAR(A527)</f>
        <v/>
      </c>
    </row>
    <row r="528">
      <c r="A528" s="1" t="n">
        <v>45505</v>
      </c>
      <c r="B528" t="inlineStr">
        <is>
          <t>AliAni</t>
        </is>
      </c>
      <c r="C528" t="inlineStr">
        <is>
          <t>Developer</t>
        </is>
      </c>
      <c r="D528" t="inlineStr">
        <is>
          <t>Support #69769: FR2-20240601-006 Priminimų siuntimo užklausų atsakingiems asmenims flow proceso kūrimas</t>
        </is>
      </c>
      <c r="E528" t="inlineStr">
        <is>
          <t>Specifikacija</t>
        </is>
      </c>
      <c r="F528" t="n">
        <v>0.5</v>
      </c>
      <c r="G528" t="inlineStr">
        <is>
          <t>Yes</t>
        </is>
      </c>
      <c r="H528">
        <f>+WEEKNUM(A528)</f>
        <v/>
      </c>
      <c r="I528">
        <f>+YEAR(A528)</f>
        <v/>
      </c>
    </row>
    <row r="529">
      <c r="A529" s="1" t="n">
        <v>45504</v>
      </c>
      <c r="B529" t="inlineStr">
        <is>
          <t>AliAni</t>
        </is>
      </c>
      <c r="C529" t="inlineStr">
        <is>
          <t>Developer</t>
        </is>
      </c>
      <c r="D529" t="inlineStr">
        <is>
          <t>Support #69769: FR2-20240601-006 Priminimų siuntimo užklausų atsakingiems asmenims flow proceso kūrimas</t>
        </is>
      </c>
      <c r="E529" t="inlineStr">
        <is>
          <t>Atiduota testuoti</t>
        </is>
      </c>
      <c r="F529" t="n">
        <v>4</v>
      </c>
      <c r="G529" t="inlineStr">
        <is>
          <t>Yes</t>
        </is>
      </c>
      <c r="H529">
        <f>+WEEKNUM(A529)</f>
        <v/>
      </c>
      <c r="I529">
        <f>+YEAR(A529)</f>
        <v/>
      </c>
    </row>
    <row r="530">
      <c r="A530" s="1" t="n">
        <v>45504</v>
      </c>
      <c r="B530" t="inlineStr">
        <is>
          <t>VilMat</t>
        </is>
      </c>
      <c r="C530" t="inlineStr">
        <is>
          <t>Consultant</t>
        </is>
      </c>
      <c r="D530" t="inlineStr">
        <is>
          <t>Feature #68573: FR2 Užklausų procesas</t>
        </is>
      </c>
      <c r="E530" t="inlineStr">
        <is>
          <t>Pasitarimai su Gabrieliumi dėl LTG dev užduočių</t>
        </is>
      </c>
      <c r="F530" t="n">
        <v>0.25</v>
      </c>
      <c r="G530" t="inlineStr">
        <is>
          <t>Yes</t>
        </is>
      </c>
      <c r="H530">
        <f>+WEEKNUM(A530)</f>
        <v/>
      </c>
      <c r="I530">
        <f>+YEAR(A530)</f>
        <v/>
      </c>
    </row>
    <row r="531">
      <c r="A531" s="1" t="n">
        <v>45504</v>
      </c>
      <c r="B531" t="inlineStr">
        <is>
          <t>AliAni</t>
        </is>
      </c>
      <c r="C531" t="inlineStr">
        <is>
          <t>Developer</t>
        </is>
      </c>
      <c r="D531" t="inlineStr">
        <is>
          <t>Support #69769: FR2-20240601-006 Priminimų siuntimo užklausų atsakingiems asmenims flow proceso kūrimas</t>
        </is>
      </c>
      <c r="E531" t="inlineStr">
        <is>
          <t>Sukurtas karkasas. Liko pataisyti pabaigos datas, kai Vilintas sukurs ir gavėjus</t>
        </is>
      </c>
      <c r="F531" t="n">
        <v>4</v>
      </c>
      <c r="G531" t="inlineStr">
        <is>
          <t>Yes</t>
        </is>
      </c>
      <c r="H531">
        <f>+WEEKNUM(A531)</f>
        <v/>
      </c>
      <c r="I531">
        <f>+YEAR(A531)</f>
        <v/>
      </c>
    </row>
    <row r="532">
      <c r="A532" s="1" t="n">
        <v>45503</v>
      </c>
      <c r="B532" t="inlineStr">
        <is>
          <t>AliAni</t>
        </is>
      </c>
      <c r="C532" t="inlineStr">
        <is>
          <t>Developer</t>
        </is>
      </c>
      <c r="D532" t="inlineStr">
        <is>
          <t>Support #70898: FR2-20240601-015 BPF Stage Time In Percent Calculator</t>
        </is>
      </c>
      <c r="E532" t="inlineStr">
        <is>
          <t>Sudėliotas Flows. Grąžina dvi reikšmes: StateRate - skaičus; Json formato rinkinį su StateRate, statusu ir notifications su gautu duomenu klaidomis</t>
        </is>
      </c>
      <c r="F532" t="n">
        <v>2</v>
      </c>
      <c r="G532" t="inlineStr">
        <is>
          <t>Yes</t>
        </is>
      </c>
      <c r="H532">
        <f>+WEEKNUM(A532)</f>
        <v/>
      </c>
      <c r="I532">
        <f>+YEAR(A532)</f>
        <v/>
      </c>
    </row>
    <row r="533">
      <c r="A533" s="1" t="n">
        <v>45503</v>
      </c>
      <c r="B533" t="inlineStr">
        <is>
          <t>AliAni</t>
        </is>
      </c>
      <c r="C533" t="inlineStr">
        <is>
          <t>Developer</t>
        </is>
      </c>
      <c r="D533" t="inlineStr">
        <is>
          <t>Support #69769: FR2-20240601-006 Priminimų siuntimo užklausų atsakingiems asmenims flow proceso kūrimas</t>
        </is>
      </c>
      <c r="E533" t="inlineStr">
        <is>
          <t xml:space="preserve">Sudėliotas pagrindinis karkasas. Laiškų siuntimui paimti Email template. </t>
        </is>
      </c>
      <c r="F533" t="n">
        <v>6</v>
      </c>
      <c r="G533" t="inlineStr">
        <is>
          <t>Yes</t>
        </is>
      </c>
      <c r="H533">
        <f>+WEEKNUM(A533)</f>
        <v/>
      </c>
      <c r="I533">
        <f>+YEAR(A533)</f>
        <v/>
      </c>
    </row>
    <row r="534">
      <c r="A534" s="1" t="n">
        <v>45502</v>
      </c>
      <c r="B534" t="inlineStr">
        <is>
          <t>VilMat</t>
        </is>
      </c>
      <c r="C534" t="inlineStr">
        <is>
          <t>Consultant</t>
        </is>
      </c>
      <c r="D534" t="inlineStr">
        <is>
          <t>Support #69765: FR2-20240601-002 Verslo juostos(BPF) konfigūravimo darbai</t>
        </is>
      </c>
      <c r="E534" t="inlineStr">
        <is>
          <t>BPF proceso juostos konfigūravimas</t>
        </is>
      </c>
      <c r="F534" t="n">
        <v>2</v>
      </c>
      <c r="G534" t="inlineStr">
        <is>
          <t>Yes</t>
        </is>
      </c>
      <c r="H534">
        <f>+WEEKNUM(A534)</f>
        <v/>
      </c>
      <c r="I534">
        <f>+YEAR(A534)</f>
        <v/>
      </c>
    </row>
    <row r="535">
      <c r="A535" s="1" t="n">
        <v>45502</v>
      </c>
      <c r="B535" t="inlineStr">
        <is>
          <t>AliAni</t>
        </is>
      </c>
      <c r="C535" t="inlineStr">
        <is>
          <t>Developer</t>
        </is>
      </c>
      <c r="D535" t="inlineStr">
        <is>
          <t>Support #69769: FR2-20240601-006 Priminimų siuntimo užklausų atsakingiems asmenims flow proceso kūrimas</t>
        </is>
      </c>
      <c r="E535" t="inlineStr">
        <is>
          <t>Sukūrtas naujas Flows "send Case process stage notifications". Dar reikia padaryti atrankas paga process stage</t>
        </is>
      </c>
      <c r="F535" t="n">
        <v>7</v>
      </c>
      <c r="G535" t="inlineStr">
        <is>
          <t>Yes</t>
        </is>
      </c>
      <c r="H535">
        <f>+WEEKNUM(A535)</f>
        <v/>
      </c>
      <c r="I535">
        <f>+YEAR(A535)</f>
        <v/>
      </c>
    </row>
    <row r="536">
      <c r="A536" s="1" t="n">
        <v>45502</v>
      </c>
      <c r="B536" t="inlineStr">
        <is>
          <t>AliAni</t>
        </is>
      </c>
      <c r="C536" t="inlineStr">
        <is>
          <t>Developer</t>
        </is>
      </c>
      <c r="D536" t="inlineStr">
        <is>
          <t>Support #70898: FR2-20240601-015 BPF Stage Time In Percent Calculator</t>
        </is>
      </c>
      <c r="E536" t="inlineStr">
        <is>
          <t>Sukūrtas naujas Flows Case stages time rate su laiko santykio apskaičiavimu dienomis</t>
        </is>
      </c>
      <c r="F536" t="n">
        <v>1</v>
      </c>
      <c r="G536" t="inlineStr">
        <is>
          <t>Yes</t>
        </is>
      </c>
      <c r="H536">
        <f>+WEEKNUM(A536)</f>
        <v/>
      </c>
      <c r="I536">
        <f>+YEAR(A536)</f>
        <v/>
      </c>
    </row>
    <row r="537">
      <c r="A537" s="1" t="n">
        <v>45502</v>
      </c>
      <c r="B537" t="inlineStr">
        <is>
          <t>GabKoj</t>
        </is>
      </c>
      <c r="C537" t="inlineStr">
        <is>
          <t>Developer</t>
        </is>
      </c>
      <c r="D537" t="inlineStr">
        <is>
          <t>Support #69784: FR3-240601-008 SLA skaičiavimo funkcijos kūrimas užduotims</t>
        </is>
      </c>
      <c r="E537" t="inlineStr">
        <is>
          <t>call with Vilintas, užduoties analizė</t>
        </is>
      </c>
      <c r="F537" t="n">
        <v>1</v>
      </c>
      <c r="G537" t="inlineStr">
        <is>
          <t>Yes</t>
        </is>
      </c>
      <c r="H537">
        <f>+WEEKNUM(A537)</f>
        <v/>
      </c>
      <c r="I537">
        <f>+YEAR(A537)</f>
        <v/>
      </c>
    </row>
    <row r="538">
      <c r="A538" s="1" t="n">
        <v>45502</v>
      </c>
      <c r="B538" t="inlineStr">
        <is>
          <t>GabKoj</t>
        </is>
      </c>
      <c r="C538" t="inlineStr">
        <is>
          <t>Developer</t>
        </is>
      </c>
      <c r="D538" t="inlineStr">
        <is>
          <t>Support #69768: FR2-20240601-005 Process Stage Duration funkcionalumo perkonfigūravimas</t>
        </is>
      </c>
      <c r="E538" t="inlineStr">
        <is>
          <t>call with Vilintas, užduoties analizė</t>
        </is>
      </c>
      <c r="F538" t="n">
        <v>2</v>
      </c>
      <c r="G538" t="inlineStr">
        <is>
          <t>Yes</t>
        </is>
      </c>
      <c r="H538">
        <f>+WEEKNUM(A538)</f>
        <v/>
      </c>
      <c r="I538">
        <f>+YEAR(A538)</f>
        <v/>
      </c>
    </row>
    <row r="539">
      <c r="A539" s="1" t="n">
        <v>45502</v>
      </c>
      <c r="B539" t="inlineStr">
        <is>
          <t>VilMat</t>
        </is>
      </c>
      <c r="C539" t="inlineStr">
        <is>
          <t>Consultant</t>
        </is>
      </c>
      <c r="D539" t="inlineStr">
        <is>
          <t>Support #69768: FR2-20240601-005 Process Stage Duration funkcionalumo perkonfigūravimas</t>
        </is>
      </c>
      <c r="E539" t="inlineStr">
        <is>
          <t>Funkcionalumo dalių peržiūra, ryšių sutikrinimas, reikalingo darbo apsibrėžimas, trūkstamų vietų užfiksavimas ir veiksmų dėliojimas</t>
        </is>
      </c>
      <c r="F539" t="n">
        <v>1.5</v>
      </c>
      <c r="G539" t="inlineStr">
        <is>
          <t>Yes</t>
        </is>
      </c>
      <c r="H539">
        <f>+WEEKNUM(A539)</f>
        <v/>
      </c>
      <c r="I539">
        <f>+YEAR(A539)</f>
        <v/>
      </c>
    </row>
    <row r="540">
      <c r="A540" s="1" t="n">
        <v>45502</v>
      </c>
      <c r="B540" t="inlineStr">
        <is>
          <t>VilMat</t>
        </is>
      </c>
      <c r="C540" t="inlineStr">
        <is>
          <t>Consultant</t>
        </is>
      </c>
      <c r="D540" t="inlineStr">
        <is>
          <t>Support #69774: FR2-20240601-011 Notification - Planuojama parengti data</t>
        </is>
      </c>
      <c r="E540" t="inlineStr">
        <is>
          <t>Užduoties atnaujinimas</t>
        </is>
      </c>
      <c r="F540" t="n">
        <v>0.25</v>
      </c>
      <c r="G540" t="inlineStr">
        <is>
          <t>Yes</t>
        </is>
      </c>
      <c r="H540">
        <f>+WEEKNUM(A540)</f>
        <v/>
      </c>
      <c r="I540">
        <f>+YEAR(A540)</f>
        <v/>
      </c>
    </row>
    <row r="541">
      <c r="A541" s="1" t="n">
        <v>45502</v>
      </c>
      <c r="B541" t="inlineStr">
        <is>
          <t>VilMat</t>
        </is>
      </c>
      <c r="C541" t="inlineStr">
        <is>
          <t>Consultant</t>
        </is>
      </c>
      <c r="D541" t="inlineStr">
        <is>
          <t>Support #69772: FR2-20240601-009 Notification - Laukiama Kliento atsakymo data</t>
        </is>
      </c>
      <c r="E541" t="inlineStr">
        <is>
          <t>Užduoties atnaujinimas</t>
        </is>
      </c>
      <c r="F541" t="n">
        <v>0.25</v>
      </c>
      <c r="G541" t="inlineStr">
        <is>
          <t>Yes</t>
        </is>
      </c>
      <c r="H541">
        <f>+WEEKNUM(A541)</f>
        <v/>
      </c>
      <c r="I541">
        <f>+YEAR(A541)</f>
        <v/>
      </c>
    </row>
    <row r="542">
      <c r="A542" s="1" t="n">
        <v>45502</v>
      </c>
      <c r="B542" t="inlineStr">
        <is>
          <t>VilMat</t>
        </is>
      </c>
      <c r="C542" t="inlineStr">
        <is>
          <t>Consultant</t>
        </is>
      </c>
      <c r="D542" t="inlineStr">
        <is>
          <t>Support #69770: FR2-20240601-007 Notification - Planuojama konsultanto atsakymo data</t>
        </is>
      </c>
      <c r="E542" t="inlineStr">
        <is>
          <t>Užduoties atnaujinimas</t>
        </is>
      </c>
      <c r="F542" t="n">
        <v>0.25</v>
      </c>
      <c r="G542" t="inlineStr">
        <is>
          <t>Yes</t>
        </is>
      </c>
      <c r="H542">
        <f>+WEEKNUM(A542)</f>
        <v/>
      </c>
      <c r="I542">
        <f>+YEAR(A542)</f>
        <v/>
      </c>
    </row>
    <row r="543">
      <c r="A543" s="1" t="n">
        <v>45502</v>
      </c>
      <c r="B543" t="inlineStr">
        <is>
          <t>VilMat</t>
        </is>
      </c>
      <c r="C543" t="inlineStr">
        <is>
          <t>Consultant</t>
        </is>
      </c>
      <c r="D543" t="inlineStr">
        <is>
          <t>Support #69769: FR2-20240601-006 Priminimų siuntimo užklausų atsakingiems asmenims flow proceso kūrimas</t>
        </is>
      </c>
      <c r="E543" t="inlineStr">
        <is>
          <t>Specifikacijos korekcijos/papildymas dėl pakitusio sprendimo įgyvendinimo, papildomo custom entity konfigūratoriui kūrimas</t>
        </is>
      </c>
      <c r="F543" t="n">
        <v>1.5</v>
      </c>
      <c r="G543" t="inlineStr">
        <is>
          <t>Yes</t>
        </is>
      </c>
      <c r="H543">
        <f>+WEEKNUM(A543)</f>
        <v/>
      </c>
      <c r="I543">
        <f>+YEAR(A543)</f>
        <v/>
      </c>
    </row>
    <row r="544">
      <c r="A544" s="1" t="n">
        <v>45502</v>
      </c>
      <c r="B544" t="inlineStr">
        <is>
          <t>GabKoj</t>
        </is>
      </c>
      <c r="C544" t="inlineStr">
        <is>
          <t>Developer</t>
        </is>
      </c>
      <c r="D544" t="inlineStr">
        <is>
          <t>Support #69769: FR2-20240601-006 Priminimų siuntimo užklausų atsakingiems asmenims flow proceso kūrimas</t>
        </is>
      </c>
      <c r="E544" t="inlineStr">
        <is>
          <t>call with Alina apie užduotį</t>
        </is>
      </c>
      <c r="F544" t="n">
        <v>0.25</v>
      </c>
      <c r="G544" t="inlineStr">
        <is>
          <t>Yes</t>
        </is>
      </c>
      <c r="H544">
        <f>+WEEKNUM(A544)</f>
        <v/>
      </c>
      <c r="I544">
        <f>+YEAR(A544)</f>
        <v/>
      </c>
    </row>
    <row r="545">
      <c r="A545" s="1" t="n">
        <v>45499</v>
      </c>
      <c r="B545" t="inlineStr">
        <is>
          <t>VilMat</t>
        </is>
      </c>
      <c r="C545" t="inlineStr">
        <is>
          <t>Consultant</t>
        </is>
      </c>
      <c r="D545" t="inlineStr">
        <is>
          <t>Support #69765: FR2-20240601-002 Verslo juostos(BPF) konfigūravimo darbai</t>
        </is>
      </c>
      <c r="E545" t="inlineStr">
        <is>
          <t>Konfigūraciniai darbai</t>
        </is>
      </c>
      <c r="F545" t="n">
        <v>0.75</v>
      </c>
      <c r="G545" t="inlineStr">
        <is>
          <t>Yes</t>
        </is>
      </c>
      <c r="H545">
        <f>+WEEKNUM(A545)</f>
        <v/>
      </c>
      <c r="I545">
        <f>+YEAR(A545)</f>
        <v/>
      </c>
    </row>
    <row r="546">
      <c r="A546" s="1" t="n">
        <v>45499</v>
      </c>
      <c r="B546" t="inlineStr">
        <is>
          <t>VilMat</t>
        </is>
      </c>
      <c r="C546" t="inlineStr">
        <is>
          <t>Consultant</t>
        </is>
      </c>
      <c r="D546" t="inlineStr">
        <is>
          <t>Support #69764: FR2-20240601-001 Naujų laukų kūrimas Case įraše, esamų korekcijos</t>
        </is>
      </c>
      <c r="E546" t="inlineStr">
        <is>
          <t>Laukų kūrimas, korekcijos (Part)</t>
        </is>
      </c>
      <c r="F546" t="n">
        <v>2</v>
      </c>
      <c r="G546" t="inlineStr">
        <is>
          <t>Yes</t>
        </is>
      </c>
      <c r="H546">
        <f>+WEEKNUM(A546)</f>
        <v/>
      </c>
      <c r="I546">
        <f>+YEAR(A546)</f>
        <v/>
      </c>
    </row>
    <row r="547">
      <c r="A547" s="1" t="n">
        <v>45499</v>
      </c>
      <c r="B547" t="inlineStr">
        <is>
          <t>VilMat</t>
        </is>
      </c>
      <c r="C547" t="inlineStr">
        <is>
          <t>Consultant</t>
        </is>
      </c>
      <c r="D547" t="inlineStr">
        <is>
          <t>Support #70898: FR2-20240601-015 BPF Stage Time In Percent Calculator</t>
        </is>
      </c>
      <c r="E547" t="inlineStr">
        <is>
          <t>Papildomo flow apsibrėžimas, specifikacija</t>
        </is>
      </c>
      <c r="F547" t="n">
        <v>0.5</v>
      </c>
      <c r="G547" t="inlineStr">
        <is>
          <t>Yes</t>
        </is>
      </c>
      <c r="H547">
        <f>+WEEKNUM(A547)</f>
        <v/>
      </c>
      <c r="I547">
        <f>+YEAR(A547)</f>
        <v/>
      </c>
    </row>
    <row r="548">
      <c r="A548" s="1" t="n">
        <v>45499</v>
      </c>
      <c r="B548" t="inlineStr">
        <is>
          <t>VilMat</t>
        </is>
      </c>
      <c r="C548" t="inlineStr">
        <is>
          <t>Consultant</t>
        </is>
      </c>
      <c r="D548" t="inlineStr">
        <is>
          <t>Support #69769: FR2-20240601-006 Priminimų siuntimo užklausų atsakingiems asmenims flow proceso kūrimas</t>
        </is>
      </c>
      <c r="E548" t="inlineStr">
        <is>
          <t>Specifikacijos ruošimas, derinimas su programuotoju dėl logikos, logikos keitimas, užduoties keitimas</t>
        </is>
      </c>
      <c r="F548" t="n">
        <v>4</v>
      </c>
      <c r="G548" t="inlineStr">
        <is>
          <t>Yes</t>
        </is>
      </c>
      <c r="H548">
        <f>+WEEKNUM(A548)</f>
        <v/>
      </c>
      <c r="I548">
        <f>+YEAR(A548)</f>
        <v/>
      </c>
    </row>
    <row r="549">
      <c r="A549" s="1" t="n">
        <v>45499</v>
      </c>
      <c r="B549" t="inlineStr">
        <is>
          <t>GabKoj</t>
        </is>
      </c>
      <c r="C549" t="inlineStr">
        <is>
          <t>Code review</t>
        </is>
      </c>
      <c r="D549" t="inlineStr">
        <is>
          <t>Support #69755: FR1-240601-003 "Convert To Case" formos programavimas</t>
        </is>
      </c>
      <c r="E549" t="inlineStr">
        <is>
          <t>testing, code review</t>
        </is>
      </c>
      <c r="F549" t="n">
        <v>0.25</v>
      </c>
      <c r="G549" t="inlineStr">
        <is>
          <t>No</t>
        </is>
      </c>
      <c r="H549">
        <f>+WEEKNUM(A549)</f>
        <v/>
      </c>
      <c r="I549">
        <f>+YEAR(A549)</f>
        <v/>
      </c>
    </row>
    <row r="550">
      <c r="A550" s="1" t="n">
        <v>45499</v>
      </c>
      <c r="B550" t="inlineStr">
        <is>
          <t>GabKoj</t>
        </is>
      </c>
      <c r="C550" t="inlineStr">
        <is>
          <t>Developer</t>
        </is>
      </c>
      <c r="D550" t="inlineStr">
        <is>
          <t>Support #69755: FR1-240601-003 "Convert To Case" formos programavimas</t>
        </is>
      </c>
      <c r="E550" t="inlineStr">
        <is>
          <t>Call, with ALina, testavimas, pastabos ką pakeisti</t>
        </is>
      </c>
      <c r="F550" t="n">
        <v>0.5</v>
      </c>
      <c r="G550" t="inlineStr">
        <is>
          <t>Yes</t>
        </is>
      </c>
      <c r="H550">
        <f>+WEEKNUM(A550)</f>
        <v/>
      </c>
      <c r="I550">
        <f>+YEAR(A550)</f>
        <v/>
      </c>
    </row>
    <row r="551">
      <c r="A551" s="1" t="n">
        <v>45499</v>
      </c>
      <c r="B551" t="inlineStr">
        <is>
          <t>AliAni</t>
        </is>
      </c>
      <c r="C551" t="inlineStr">
        <is>
          <t>Developer</t>
        </is>
      </c>
      <c r="D551" t="inlineStr">
        <is>
          <t>Support #69755: FR1-240601-003 "Convert To Case" formos programavimas</t>
        </is>
      </c>
      <c r="E551" t="inlineStr">
        <is>
          <t>Stilistiniai patvarkymai.</t>
        </is>
      </c>
      <c r="F551" t="n">
        <v>1</v>
      </c>
      <c r="G551" t="inlineStr">
        <is>
          <t>Yes</t>
        </is>
      </c>
      <c r="H551">
        <f>+WEEKNUM(A551)</f>
        <v/>
      </c>
      <c r="I551">
        <f>+YEAR(A551)</f>
        <v/>
      </c>
    </row>
    <row r="552">
      <c r="A552" s="1" t="n">
        <v>45498</v>
      </c>
      <c r="B552" t="inlineStr">
        <is>
          <t>GabKoj</t>
        </is>
      </c>
      <c r="C552" t="inlineStr">
        <is>
          <t>Meeting</t>
        </is>
      </c>
      <c r="D552" t="inlineStr">
        <is>
          <t>Support #69769: FR2-20240601-006 Priminimų siuntimo užklausų atsakingiems asmenims flow proceso kūrimas</t>
        </is>
      </c>
      <c r="E552" t="inlineStr">
        <is>
          <t>meet with Vilintas dėl logikos notificationu</t>
        </is>
      </c>
      <c r="F552" t="n">
        <v>0.75</v>
      </c>
      <c r="G552" t="inlineStr">
        <is>
          <t>Yes</t>
        </is>
      </c>
      <c r="H552">
        <f>+WEEKNUM(A552)</f>
        <v/>
      </c>
      <c r="I552">
        <f>+YEAR(A552)</f>
        <v/>
      </c>
    </row>
    <row r="553">
      <c r="A553" s="1" t="n">
        <v>45498</v>
      </c>
      <c r="B553" t="inlineStr">
        <is>
          <t>VilMat</t>
        </is>
      </c>
      <c r="C553" t="inlineStr">
        <is>
          <t>Consultant</t>
        </is>
      </c>
      <c r="D553" t="inlineStr">
        <is>
          <t>Support #69769: FR2-20240601-006 Priminimų siuntimo užklausų atsakingiems asmenims flow proceso kūrimas</t>
        </is>
      </c>
      <c r="E553" t="inlineStr">
        <is>
          <t>Funkcijos apsirašymas ir papildomi pasitarimai</t>
        </is>
      </c>
      <c r="F553" t="n">
        <v>0.75</v>
      </c>
      <c r="G553" t="inlineStr">
        <is>
          <t>Yes</t>
        </is>
      </c>
      <c r="H553">
        <f>+WEEKNUM(A553)</f>
        <v/>
      </c>
      <c r="I553">
        <f>+YEAR(A553)</f>
        <v/>
      </c>
    </row>
    <row r="554">
      <c r="A554" s="1" t="n">
        <v>45498</v>
      </c>
      <c r="B554" t="inlineStr">
        <is>
          <t>AliAni</t>
        </is>
      </c>
      <c r="C554" t="inlineStr">
        <is>
          <t>Developer</t>
        </is>
      </c>
      <c r="D554" t="inlineStr">
        <is>
          <t>Support #69755: FR1-240601-003 "Convert To Case" formos programavimas</t>
        </is>
      </c>
      <c r="E554" t="inlineStr">
        <is>
          <t>Dialogo lango tvarkymas: stiliai, mygtukū funkcionalumas, naujo Case įrašo kūrimas. Liko ištestuoti</t>
        </is>
      </c>
      <c r="F554" t="n">
        <v>8</v>
      </c>
      <c r="G554" t="inlineStr">
        <is>
          <t>Yes</t>
        </is>
      </c>
      <c r="H554">
        <f>+WEEKNUM(A554)</f>
        <v/>
      </c>
      <c r="I554">
        <f>+YEAR(A554)</f>
        <v/>
      </c>
    </row>
    <row r="555">
      <c r="A555" s="1" t="n">
        <v>45498</v>
      </c>
      <c r="B555" t="inlineStr">
        <is>
          <t>VilMat</t>
        </is>
      </c>
      <c r="C555" t="inlineStr">
        <is>
          <t>Consultant</t>
        </is>
      </c>
      <c r="D555" t="inlineStr">
        <is>
          <t>Support #69769: FR2-20240601-006 Priminimų siuntimo užklausų atsakingiems asmenims flow proceso kūrimas</t>
        </is>
      </c>
      <c r="E555" t="inlineStr">
        <is>
          <t>Logikos apsibrėžimas su programuotoju</t>
        </is>
      </c>
      <c r="F555" t="n">
        <v>1.25</v>
      </c>
      <c r="G555" t="inlineStr">
        <is>
          <t>Yes</t>
        </is>
      </c>
      <c r="H555">
        <f>+WEEKNUM(A555)</f>
        <v/>
      </c>
      <c r="I555">
        <f>+YEAR(A555)</f>
        <v/>
      </c>
    </row>
    <row r="556">
      <c r="A556" s="1" t="n">
        <v>45497</v>
      </c>
      <c r="B556" t="inlineStr">
        <is>
          <t>AliAni</t>
        </is>
      </c>
      <c r="C556" t="inlineStr">
        <is>
          <t>Developer</t>
        </is>
      </c>
      <c r="D556" t="inlineStr">
        <is>
          <t>Support #69755: FR1-240601-003 "Convert To Case" formos programavimas</t>
        </is>
      </c>
      <c r="E556" t="inlineStr">
        <is>
          <t>Nupiešta HTML formą ir patalpinta į Web resursą Convert to case HTML</t>
        </is>
      </c>
      <c r="F556" t="n">
        <v>4</v>
      </c>
      <c r="G556" t="inlineStr">
        <is>
          <t>Yes</t>
        </is>
      </c>
      <c r="H556">
        <f>+WEEKNUM(A556)</f>
        <v/>
      </c>
      <c r="I556">
        <f>+YEAR(A556)</f>
        <v/>
      </c>
    </row>
    <row r="557">
      <c r="A557" s="1" t="n">
        <v>45496</v>
      </c>
      <c r="B557" t="inlineStr">
        <is>
          <t>VilMat</t>
        </is>
      </c>
      <c r="C557" t="inlineStr">
        <is>
          <t>Consultant</t>
        </is>
      </c>
      <c r="D557" t="inlineStr">
        <is>
          <t>Support #69767: FR2-20240601-004 Service Level Agreements (SLA) standartinio funkcionalumo perkonfigūravimas</t>
        </is>
      </c>
      <c r="E557" t="inlineStr">
        <is>
          <t>BPF ir SLA susižiūrėjimas</t>
        </is>
      </c>
      <c r="F557" t="n">
        <v>0.5</v>
      </c>
      <c r="G557" t="inlineStr">
        <is>
          <t>No</t>
        </is>
      </c>
      <c r="H557">
        <f>+WEEKNUM(A557)</f>
        <v/>
      </c>
      <c r="I557">
        <f>+YEAR(A557)</f>
        <v/>
      </c>
    </row>
    <row r="558">
      <c r="A558" s="1" t="n">
        <v>45496</v>
      </c>
      <c r="B558" t="inlineStr">
        <is>
          <t>VilMat</t>
        </is>
      </c>
      <c r="C558" t="inlineStr">
        <is>
          <t>Consultant</t>
        </is>
      </c>
      <c r="D558" t="inlineStr">
        <is>
          <t>Support #69764: FR2-20240601-001 Naujų laukų kūrimas Case įraše, esamų korekcijos</t>
        </is>
      </c>
      <c r="E558" t="inlineStr">
        <is>
          <t>Informacijos susitikslinimas, nauji laukeliai</t>
        </is>
      </c>
      <c r="F558" t="n">
        <v>0.5</v>
      </c>
      <c r="G558" t="inlineStr">
        <is>
          <t>Yes</t>
        </is>
      </c>
      <c r="H558">
        <f>+WEEKNUM(A558)</f>
        <v/>
      </c>
      <c r="I558">
        <f>+YEAR(A558)</f>
        <v/>
      </c>
    </row>
    <row r="559">
      <c r="A559" s="1" t="n">
        <v>45496</v>
      </c>
      <c r="B559" t="inlineStr">
        <is>
          <t>AliAni</t>
        </is>
      </c>
      <c r="C559" t="inlineStr">
        <is>
          <t>Developer</t>
        </is>
      </c>
      <c r="D559" t="inlineStr">
        <is>
          <t>Support #69754: FR1-240601-002 Naujas unikalus mygtukas "Convert To Case"</t>
        </is>
      </c>
      <c r="E559" t="inlineStr">
        <is>
          <t>Sukūrtas mygtukas "To Case". Atidaro formą Support #65488. Dar ieškau, kaip mygtuką sukelti į grupę "Convert to.."</t>
        </is>
      </c>
      <c r="F559" t="n">
        <v>4</v>
      </c>
      <c r="G559" t="inlineStr">
        <is>
          <t>Yes</t>
        </is>
      </c>
      <c r="H559">
        <f>+WEEKNUM(A559)</f>
        <v/>
      </c>
      <c r="I559">
        <f>+YEAR(A559)</f>
        <v/>
      </c>
    </row>
    <row r="560">
      <c r="A560" s="1" t="n">
        <v>45496</v>
      </c>
      <c r="B560" t="inlineStr">
        <is>
          <t>GabKoj</t>
        </is>
      </c>
      <c r="C560" t="inlineStr">
        <is>
          <t>Developer</t>
        </is>
      </c>
      <c r="D560" t="inlineStr">
        <is>
          <t>Support #69778: FR3-240601-002 Notification - Notification about Owner Change On Task</t>
        </is>
      </c>
      <c r="E560" t="inlineStr">
        <is>
          <t>testing</t>
        </is>
      </c>
      <c r="F560" t="n">
        <v>0.25</v>
      </c>
      <c r="G560" t="inlineStr">
        <is>
          <t>Yes</t>
        </is>
      </c>
      <c r="H560">
        <f>+WEEKNUM(A560)</f>
        <v/>
      </c>
      <c r="I560">
        <f>+YEAR(A560)</f>
        <v/>
      </c>
    </row>
    <row r="561">
      <c r="A561" s="1" t="n">
        <v>45496</v>
      </c>
      <c r="B561" t="inlineStr">
        <is>
          <t>AliAni</t>
        </is>
      </c>
      <c r="C561" t="inlineStr">
        <is>
          <t>Learning</t>
        </is>
      </c>
      <c r="D561" t="inlineStr">
        <is>
          <t>Support #69755: FR1-240601-003 "Convert To Case" formos programavimas</t>
        </is>
      </c>
      <c r="E561" t="inlineStr">
        <is>
          <t>Darbo aptarimas. Pagalba Gabrieliaus</t>
        </is>
      </c>
      <c r="F561" t="n">
        <v>0.25</v>
      </c>
      <c r="G561" t="inlineStr">
        <is>
          <t>No</t>
        </is>
      </c>
      <c r="H561">
        <f>+WEEKNUM(A561)</f>
        <v/>
      </c>
      <c r="I561">
        <f>+YEAR(A561)</f>
        <v/>
      </c>
    </row>
    <row r="562">
      <c r="A562" s="1" t="n">
        <v>45496</v>
      </c>
      <c r="B562" t="inlineStr">
        <is>
          <t>AliAni</t>
        </is>
      </c>
      <c r="C562" t="inlineStr">
        <is>
          <t>Developer</t>
        </is>
      </c>
      <c r="D562" t="inlineStr">
        <is>
          <t>Support #69778: FR3-240601-002 Notification - Notification about Owner Change On Task</t>
        </is>
      </c>
      <c r="E562" t="inlineStr">
        <is>
          <t>sutvarkytos pastabos</t>
        </is>
      </c>
      <c r="F562" t="n">
        <v>0.5</v>
      </c>
      <c r="G562" t="inlineStr">
        <is>
          <t>Yes</t>
        </is>
      </c>
      <c r="H562">
        <f>+WEEKNUM(A562)</f>
        <v/>
      </c>
      <c r="I562">
        <f>+YEAR(A562)</f>
        <v/>
      </c>
    </row>
    <row r="563">
      <c r="A563" s="1" t="n">
        <v>45495</v>
      </c>
      <c r="B563" t="inlineStr">
        <is>
          <t>GabKoj</t>
        </is>
      </c>
      <c r="C563" t="inlineStr">
        <is>
          <t>Developer</t>
        </is>
      </c>
      <c r="D563" t="inlineStr">
        <is>
          <t>Support #69778: FR3-240601-002 Notification - Notification about Owner Change On Task</t>
        </is>
      </c>
      <c r="E563" t="inlineStr">
        <is>
          <t>test flow</t>
        </is>
      </c>
      <c r="F563" t="n">
        <v>0.25</v>
      </c>
      <c r="G563" t="inlineStr">
        <is>
          <t>Yes</t>
        </is>
      </c>
      <c r="H563">
        <f>+WEEKNUM(A563)</f>
        <v/>
      </c>
      <c r="I563">
        <f>+YEAR(A563)</f>
        <v/>
      </c>
    </row>
    <row r="564">
      <c r="A564" s="1" t="n">
        <v>45492</v>
      </c>
      <c r="B564" t="inlineStr">
        <is>
          <t>AliAni</t>
        </is>
      </c>
      <c r="C564" t="inlineStr">
        <is>
          <t>Developer</t>
        </is>
      </c>
      <c r="D564" t="inlineStr">
        <is>
          <t>Support #69778: FR3-240601-002 Notification - Notification about Owner Change On Task</t>
        </is>
      </c>
      <c r="E564" t="inlineStr">
        <is>
          <t>Yra sukurtas Flows send Notifications when Owner is changed išsiūsti paštą, įmesti pranešimą į Teams chatą ir notification sistemoje vartotojui apie užduoties priskyrimą</t>
        </is>
      </c>
      <c r="F564" t="n">
        <v>6</v>
      </c>
      <c r="G564" t="inlineStr">
        <is>
          <t>Yes</t>
        </is>
      </c>
      <c r="H564">
        <f>+WEEKNUM(A564)</f>
        <v/>
      </c>
      <c r="I564">
        <f>+YEAR(A564)</f>
        <v/>
      </c>
    </row>
    <row r="565">
      <c r="A565" s="1" t="n">
        <v>45492</v>
      </c>
      <c r="B565" t="inlineStr">
        <is>
          <t>GabKoj</t>
        </is>
      </c>
      <c r="C565" t="inlineStr">
        <is>
          <t>Developer</t>
        </is>
      </c>
      <c r="D565" t="inlineStr">
        <is>
          <t>Support #69781: FR3-240601-005 JS - Užduoties laukelio 'Piority' priklausomybė nuo 'Due Date' laukelio</t>
        </is>
      </c>
      <c r="E565" t="inlineStr">
        <is>
          <t>peržiūra flowo, feedback to Alina</t>
        </is>
      </c>
      <c r="F565" t="n">
        <v>0.25</v>
      </c>
      <c r="G565" t="inlineStr">
        <is>
          <t>Yes</t>
        </is>
      </c>
      <c r="H565">
        <f>+WEEKNUM(A565)</f>
        <v/>
      </c>
      <c r="I565">
        <f>+YEAR(A565)</f>
        <v/>
      </c>
    </row>
    <row r="566">
      <c r="A566" s="1" t="n">
        <v>45492</v>
      </c>
      <c r="B566" t="inlineStr">
        <is>
          <t>AliAni</t>
        </is>
      </c>
      <c r="C566" t="inlineStr">
        <is>
          <t>Developer</t>
        </is>
      </c>
      <c r="D566" t="inlineStr">
        <is>
          <t>Support #69781: FR3-240601-005 JS - Užduoties laukelio 'Piority' priklausomybė nuo 'Due Date' laukelio</t>
        </is>
      </c>
      <c r="E566" t="inlineStr">
        <is>
          <t>Atiduodu testavimui. Papildžiau Flow, kuris automatu kiekvieną dieną 1 val. nakties pakeis šiandienos neuždarytus Task su Due Date šiandien į Priority High</t>
        </is>
      </c>
      <c r="F566" t="n">
        <v>2</v>
      </c>
      <c r="G566" t="inlineStr">
        <is>
          <t>Yes</t>
        </is>
      </c>
      <c r="H566">
        <f>+WEEKNUM(A566)</f>
        <v/>
      </c>
      <c r="I566">
        <f>+YEAR(A566)</f>
        <v/>
      </c>
    </row>
    <row r="567">
      <c r="A567" s="1" t="n">
        <v>45491</v>
      </c>
      <c r="B567" t="inlineStr">
        <is>
          <t>AliAni</t>
        </is>
      </c>
      <c r="C567" t="inlineStr">
        <is>
          <t>Developer</t>
        </is>
      </c>
      <c r="D567" t="inlineStr">
        <is>
          <t>Support #69781: FR3-240601-005 JS - Užduoties laukelio 'Piority' priklausomybė nuo 'Due Date' laukelio</t>
        </is>
      </c>
      <c r="E567" t="inlineStr">
        <is>
          <t>Patobulinta. Pakiesta, jei atidaroma forma turi priority, bekeičiant datas grįžta statusas į tą, kuris pakraunant formą buvo iš pradžių. Jei data šiandienos, keičiama į High. Pridėta visose formose</t>
        </is>
      </c>
      <c r="F567" t="n">
        <v>0.5</v>
      </c>
      <c r="G567" t="inlineStr">
        <is>
          <t>Yes</t>
        </is>
      </c>
      <c r="H567">
        <f>+WEEKNUM(A567)</f>
        <v/>
      </c>
      <c r="I567">
        <f>+YEAR(A567)</f>
        <v/>
      </c>
    </row>
    <row r="568">
      <c r="A568" s="1" t="n">
        <v>45491</v>
      </c>
      <c r="B568" t="inlineStr">
        <is>
          <t>GabKoj</t>
        </is>
      </c>
      <c r="C568" t="inlineStr">
        <is>
          <t>Developer</t>
        </is>
      </c>
      <c r="D568" t="inlineStr">
        <is>
          <t>Support #69781: FR3-240601-005 JS - Užduoties laukelio 'Piority' priklausomybė nuo 'Due Date' laukelio</t>
        </is>
      </c>
      <c r="E568" t="inlineStr">
        <is>
          <t>test, feedback</t>
        </is>
      </c>
      <c r="F568" t="n">
        <v>0.25</v>
      </c>
      <c r="G568" t="inlineStr">
        <is>
          <t>Yes</t>
        </is>
      </c>
      <c r="H568">
        <f>+WEEKNUM(A568)</f>
        <v/>
      </c>
      <c r="I568">
        <f>+YEAR(A568)</f>
        <v/>
      </c>
    </row>
    <row r="569">
      <c r="A569" s="1" t="n">
        <v>45491</v>
      </c>
      <c r="B569" t="inlineStr">
        <is>
          <t>GabKoj</t>
        </is>
      </c>
      <c r="C569" t="inlineStr">
        <is>
          <t>Mentoring</t>
        </is>
      </c>
      <c r="D569" t="inlineStr">
        <is>
          <t>Support #69781: FR3-240601-005 JS - Užduoties laukelio 'Piority' priklausomybė nuo 'Due Date' laukelio</t>
        </is>
      </c>
      <c r="E569" t="inlineStr">
        <is>
          <t>call with Alina</t>
        </is>
      </c>
      <c r="F569" t="n">
        <v>0.75</v>
      </c>
      <c r="G569" t="inlineStr">
        <is>
          <t>No</t>
        </is>
      </c>
      <c r="H569">
        <f>+WEEKNUM(A569)</f>
        <v/>
      </c>
      <c r="I569">
        <f>+YEAR(A569)</f>
        <v/>
      </c>
    </row>
    <row r="570">
      <c r="A570" s="1" t="n">
        <v>45491</v>
      </c>
      <c r="B570" t="inlineStr">
        <is>
          <t>AliAni</t>
        </is>
      </c>
      <c r="C570" t="inlineStr">
        <is>
          <t>Developer</t>
        </is>
      </c>
      <c r="D570" t="inlineStr">
        <is>
          <t>Support #69781: FR3-240601-005 JS - Užduoties laukelio 'Piority' priklausomybė nuo 'Due Date' laukelio</t>
        </is>
      </c>
      <c r="E570" t="inlineStr">
        <is>
          <t>sukūrtas JS ir pridetas prie Web resursų: changePrioritybyDueDate. Ant lauko DueDate yra sudėtas event onChange. Jei data pasikeičia į šiandienos - prioritetas keičiamas į High, jei parenkama vėlesnė data - Normal, ankstesnė data nekeičia prioriteto</t>
        </is>
      </c>
      <c r="F570" t="n">
        <v>3</v>
      </c>
      <c r="G570" t="inlineStr">
        <is>
          <t>Yes</t>
        </is>
      </c>
      <c r="H570">
        <f>+WEEKNUM(A570)</f>
        <v/>
      </c>
      <c r="I570">
        <f>+YEAR(A570)</f>
        <v/>
      </c>
    </row>
    <row r="571">
      <c r="A571" s="1" t="n">
        <v>45491</v>
      </c>
      <c r="B571" t="inlineStr">
        <is>
          <t>AliAni</t>
        </is>
      </c>
      <c r="C571" t="inlineStr">
        <is>
          <t>Learning</t>
        </is>
      </c>
      <c r="D571" t="inlineStr">
        <is>
          <t>Support #69781: FR3-240601-005 JS - Užduoties laukelio 'Piority' priklausomybė nuo 'Due Date' laukelio</t>
        </is>
      </c>
      <c r="E571" t="inlineStr">
        <is>
          <t xml:space="preserve">Gauta užduotis. Pokalbis su Gabrieliumi. Susipažinimas su envirement. Susitvarkymas su prisijungimais ir t.t. </t>
        </is>
      </c>
      <c r="F571" t="n">
        <v>1.5</v>
      </c>
      <c r="G571" t="inlineStr">
        <is>
          <t>No</t>
        </is>
      </c>
      <c r="H571">
        <f>+WEEKNUM(A571)</f>
        <v/>
      </c>
      <c r="I571">
        <f>+YEAR(A571)</f>
        <v/>
      </c>
    </row>
    <row r="572">
      <c r="A572" s="1" t="n">
        <v>45455</v>
      </c>
      <c r="B572" t="inlineStr">
        <is>
          <t>VilMat</t>
        </is>
      </c>
      <c r="C572" t="inlineStr">
        <is>
          <t>Meeting</t>
        </is>
      </c>
      <c r="D572" t="inlineStr">
        <is>
          <t>Support #65707: Administravimas ir darbų koordinavimas</t>
        </is>
      </c>
      <c r="E572" t="inlineStr">
        <is>
          <t>Vidinis skambutis (Pijus, Vilintas, Ugnius) - patvirtintų darbų planavimas</t>
        </is>
      </c>
      <c r="F572" t="n">
        <v>0.5</v>
      </c>
      <c r="G572" t="inlineStr">
        <is>
          <t>Yes</t>
        </is>
      </c>
      <c r="H572">
        <f>+WEEKNUM(A572)</f>
        <v/>
      </c>
      <c r="I572">
        <f>+YEAR(A572)</f>
        <v/>
      </c>
    </row>
    <row r="573">
      <c r="A573" s="1" t="n">
        <v>45450</v>
      </c>
      <c r="B573" t="inlineStr">
        <is>
          <t>VilMat</t>
        </is>
      </c>
      <c r="C573" t="inlineStr">
        <is>
          <t>Consultant</t>
        </is>
      </c>
      <c r="D573" t="inlineStr">
        <is>
          <t>Support #68773: FR3 Užduočių funkcionalumo pakeitimai</t>
        </is>
      </c>
      <c r="E573" t="inlineStr">
        <is>
          <t>Surašyti vertinimus, išskaičiuoti valandas su papildomu buferiu, suformuoti atsakymą klientui ir grąžinti ticket'ą</t>
        </is>
      </c>
      <c r="F573" t="n">
        <v>0.5</v>
      </c>
      <c r="G573" t="inlineStr">
        <is>
          <t>Yes</t>
        </is>
      </c>
      <c r="H573">
        <f>+WEEKNUM(A573)</f>
        <v/>
      </c>
      <c r="I573">
        <f>+YEAR(A573)</f>
        <v/>
      </c>
    </row>
    <row r="574">
      <c r="A574" s="1" t="n">
        <v>45450</v>
      </c>
      <c r="B574" t="inlineStr">
        <is>
          <t>VilMat</t>
        </is>
      </c>
      <c r="C574" t="inlineStr">
        <is>
          <t>Consultant</t>
        </is>
      </c>
      <c r="D574" t="inlineStr">
        <is>
          <t>Support #68773: FR3 Užduočių funkcionalumo pakeitimai</t>
        </is>
      </c>
      <c r="E574" t="inlineStr">
        <is>
          <t>Vertinimas</t>
        </is>
      </c>
      <c r="F574" t="n">
        <v>2.5</v>
      </c>
      <c r="G574" t="inlineStr">
        <is>
          <t>Yes</t>
        </is>
      </c>
      <c r="H574">
        <f>+WEEKNUM(A574)</f>
        <v/>
      </c>
      <c r="I574">
        <f>+YEAR(A574)</f>
        <v/>
      </c>
    </row>
    <row r="575">
      <c r="A575" s="1" t="n">
        <v>45450</v>
      </c>
      <c r="B575" t="inlineStr">
        <is>
          <t>VilMat</t>
        </is>
      </c>
      <c r="C575" t="inlineStr">
        <is>
          <t>Consultant</t>
        </is>
      </c>
      <c r="D575" t="inlineStr">
        <is>
          <t>Support #68773: FR3 Užduočių funkcionalumo pakeitimai</t>
        </is>
      </c>
      <c r="E575" t="inlineStr">
        <is>
          <t>Funkcijos vertinimo funkcionalumų išpildymo aptarimas su programuotoju.</t>
        </is>
      </c>
      <c r="F575" t="n">
        <v>1</v>
      </c>
      <c r="G575" t="inlineStr">
        <is>
          <t>Yes</t>
        </is>
      </c>
      <c r="H575">
        <f>+WEEKNUM(A575)</f>
        <v/>
      </c>
      <c r="I575">
        <f>+YEAR(A575)</f>
        <v/>
      </c>
    </row>
    <row r="576">
      <c r="A576" s="1" t="n">
        <v>45450</v>
      </c>
      <c r="B576" t="inlineStr">
        <is>
          <t>GabKoj</t>
        </is>
      </c>
      <c r="C576" t="inlineStr">
        <is>
          <t>Developer</t>
        </is>
      </c>
      <c r="D576" t="inlineStr">
        <is>
          <t>Support #68773: FR3 Užduočių funkcionalumo pakeitimai</t>
        </is>
      </c>
      <c r="E576" t="inlineStr">
        <is>
          <t>call with Vilintas</t>
        </is>
      </c>
      <c r="F576" t="n">
        <v>1</v>
      </c>
      <c r="G576" t="inlineStr">
        <is>
          <t>Yes</t>
        </is>
      </c>
      <c r="H576">
        <f>+WEEKNUM(A576)</f>
        <v/>
      </c>
      <c r="I576">
        <f>+YEAR(A576)</f>
        <v/>
      </c>
    </row>
    <row r="577">
      <c r="A577" s="1" t="n">
        <v>45447</v>
      </c>
      <c r="B577" t="inlineStr">
        <is>
          <t>VilMat</t>
        </is>
      </c>
      <c r="C577" t="inlineStr">
        <is>
          <t>Meeting</t>
        </is>
      </c>
      <c r="D577" t="inlineStr">
        <is>
          <t>Support #68773: FR3 Užduočių funkcionalumo pakeitimai</t>
        </is>
      </c>
      <c r="E577" t="inlineStr">
        <is>
          <t>Skambutis su programuotoju, reikalingos info surinkimas ir Egidijaus pakonsultavimas API ryšio su DWH klausimu</t>
        </is>
      </c>
      <c r="F577" t="n">
        <v>0.5</v>
      </c>
      <c r="G577" t="inlineStr">
        <is>
          <t>Yes</t>
        </is>
      </c>
      <c r="H577">
        <f>+WEEKNUM(A577)</f>
        <v/>
      </c>
      <c r="I577">
        <f>+YEAR(A577)</f>
        <v/>
      </c>
    </row>
    <row r="578">
      <c r="A578" s="1" t="n">
        <v>45447</v>
      </c>
      <c r="B578" t="inlineStr">
        <is>
          <t>VilMat</t>
        </is>
      </c>
      <c r="C578" t="inlineStr">
        <is>
          <t>Consultant</t>
        </is>
      </c>
      <c r="D578" t="inlineStr">
        <is>
          <t>Feature #68573: FR2 Užklausų procesas</t>
        </is>
      </c>
      <c r="E578" t="inlineStr">
        <is>
          <t>Modifikacijų vertinimas(final)+detalesnė info Egidijui</t>
        </is>
      </c>
      <c r="F578" t="n">
        <v>2.5</v>
      </c>
      <c r="G578" t="inlineStr">
        <is>
          <t>Yes</t>
        </is>
      </c>
      <c r="H578">
        <f>+WEEKNUM(A578)</f>
        <v/>
      </c>
      <c r="I578">
        <f>+YEAR(A578)</f>
        <v/>
      </c>
    </row>
    <row r="579">
      <c r="A579" s="1" t="n">
        <v>45446</v>
      </c>
      <c r="B579" t="inlineStr">
        <is>
          <t>VilMat</t>
        </is>
      </c>
      <c r="C579" t="inlineStr">
        <is>
          <t>Consultant</t>
        </is>
      </c>
      <c r="D579" t="inlineStr">
        <is>
          <t>Feature #68573: FR2 Užklausų procesas</t>
        </is>
      </c>
      <c r="E579" t="inlineStr">
        <is>
          <t>Modifikacijų vertinimas atsižvelgiant į proceso galimybes(part)</t>
        </is>
      </c>
      <c r="F579" t="n">
        <v>1</v>
      </c>
      <c r="G579" t="inlineStr">
        <is>
          <t>Yes</t>
        </is>
      </c>
      <c r="H579">
        <f>+WEEKNUM(A579)</f>
        <v/>
      </c>
      <c r="I579">
        <f>+YEAR(A579)</f>
        <v/>
      </c>
    </row>
    <row r="580">
      <c r="A580" s="1" t="n">
        <v>45446</v>
      </c>
      <c r="B580" t="inlineStr">
        <is>
          <t>VilMat</t>
        </is>
      </c>
      <c r="C580" t="inlineStr">
        <is>
          <t>Learning</t>
        </is>
      </c>
      <c r="D580" t="inlineStr">
        <is>
          <t>Feature #68573: FR2 Užklausų procesas</t>
        </is>
      </c>
      <c r="E580" t="inlineStr">
        <is>
          <t>Teams ir Users valdymas su rolėmis per custom entičius, kurių info kaip lookup'ai atsivaizduoja standartiniuose entičiuose ir kaip tai veikia paprastų vartotojų įrašų matymą</t>
        </is>
      </c>
      <c r="F580" t="n">
        <v>1.25</v>
      </c>
      <c r="G580" t="inlineStr">
        <is>
          <t>No</t>
        </is>
      </c>
      <c r="H580">
        <f>+WEEKNUM(A580)</f>
        <v/>
      </c>
      <c r="I580">
        <f>+YEAR(A580)</f>
        <v/>
      </c>
    </row>
    <row r="581">
      <c r="A581" s="1" t="n">
        <v>45446</v>
      </c>
      <c r="B581" t="inlineStr">
        <is>
          <t>VilMat</t>
        </is>
      </c>
      <c r="C581" t="inlineStr">
        <is>
          <t>Meeting</t>
        </is>
      </c>
      <c r="D581" t="inlineStr">
        <is>
          <t>Feature #68573: FR2 Užklausų procesas</t>
        </is>
      </c>
      <c r="E581" t="inlineStr">
        <is>
          <t>Skambutis su Egidijumi aptarti poreikio dokumentą, susitikslinti svarstytinas vietas</t>
        </is>
      </c>
      <c r="F581" t="n">
        <v>1.5</v>
      </c>
      <c r="G581" t="inlineStr">
        <is>
          <t>Yes</t>
        </is>
      </c>
      <c r="H581">
        <f>+WEEKNUM(A581)</f>
        <v/>
      </c>
      <c r="I581">
        <f>+YEAR(A581)</f>
        <v/>
      </c>
    </row>
    <row r="582">
      <c r="A582" s="1" t="n">
        <v>45443</v>
      </c>
      <c r="B582" t="inlineStr">
        <is>
          <t>VilMat</t>
        </is>
      </c>
      <c r="C582" t="inlineStr">
        <is>
          <t>Consultant</t>
        </is>
      </c>
      <c r="D582" t="inlineStr">
        <is>
          <t>Feature #68573: FR2 Užklausų procesas</t>
        </is>
      </c>
      <c r="E582" t="inlineStr">
        <is>
          <t>Diskusija su Gabrieliumi, dėl funkcijų įgyvendinimo</t>
        </is>
      </c>
      <c r="F582" t="n">
        <v>1</v>
      </c>
      <c r="G582" t="inlineStr">
        <is>
          <t>Yes</t>
        </is>
      </c>
      <c r="H582">
        <f>+WEEKNUM(A582)</f>
        <v/>
      </c>
      <c r="I582">
        <f>+YEAR(A582)</f>
        <v/>
      </c>
    </row>
    <row r="583">
      <c r="A583" s="1" t="n">
        <v>45443</v>
      </c>
      <c r="B583" t="inlineStr">
        <is>
          <t>VilMat</t>
        </is>
      </c>
      <c r="C583" t="inlineStr">
        <is>
          <t>Consultant</t>
        </is>
      </c>
      <c r="D583" t="inlineStr">
        <is>
          <t>Feature #68573: FR2 Užklausų procesas</t>
        </is>
      </c>
      <c r="E583" t="inlineStr">
        <is>
          <t>Modifikacijų vertinimas(part)</t>
        </is>
      </c>
      <c r="F583" t="n">
        <v>1.5</v>
      </c>
      <c r="G583" t="inlineStr">
        <is>
          <t>Yes</t>
        </is>
      </c>
      <c r="H583">
        <f>+WEEKNUM(A583)</f>
        <v/>
      </c>
      <c r="I583">
        <f>+YEAR(A583)</f>
        <v/>
      </c>
    </row>
    <row r="584">
      <c r="A584" s="1" t="n">
        <v>45443</v>
      </c>
      <c r="B584" t="inlineStr">
        <is>
          <t>GabKoj</t>
        </is>
      </c>
      <c r="C584" t="inlineStr">
        <is>
          <t>Developer</t>
        </is>
      </c>
      <c r="D584" t="inlineStr">
        <is>
          <t>Feature #68573: FR2 Užklausų procesas</t>
        </is>
      </c>
      <c r="E584" t="inlineStr">
        <is>
          <t>call with Vilintas, analysis, estimation for new modification</t>
        </is>
      </c>
      <c r="F584" t="n">
        <v>1</v>
      </c>
      <c r="G584" t="inlineStr">
        <is>
          <t>Yes</t>
        </is>
      </c>
      <c r="H584">
        <f>+WEEKNUM(A584)</f>
        <v/>
      </c>
      <c r="I584">
        <f>+YEAR(A584)</f>
        <v/>
      </c>
    </row>
    <row r="585">
      <c r="A585" s="1" t="n">
        <v>45443</v>
      </c>
      <c r="B585" t="inlineStr">
        <is>
          <t>GabKoj</t>
        </is>
      </c>
      <c r="C585" t="inlineStr">
        <is>
          <t>Developer</t>
        </is>
      </c>
      <c r="D585" t="inlineStr">
        <is>
          <t>Feature #68573: FR2 Užklausų procesas</t>
        </is>
      </c>
      <c r="E585" t="inlineStr">
        <is>
          <t>call with Vilintas</t>
        </is>
      </c>
      <c r="F585" t="n">
        <v>0.5</v>
      </c>
      <c r="G585" t="inlineStr">
        <is>
          <t>Yes</t>
        </is>
      </c>
      <c r="H585">
        <f>+WEEKNUM(A585)</f>
        <v/>
      </c>
      <c r="I585">
        <f>+YEAR(A585)</f>
        <v/>
      </c>
    </row>
    <row r="586">
      <c r="A586" s="1" t="n">
        <v>45442</v>
      </c>
      <c r="B586" t="inlineStr">
        <is>
          <t>VilMat</t>
        </is>
      </c>
      <c r="C586" t="inlineStr">
        <is>
          <t>Consultant</t>
        </is>
      </c>
      <c r="D586" t="inlineStr">
        <is>
          <t>Support #68773: FR3 Užduočių funkcionalumo pakeitimai</t>
        </is>
      </c>
      <c r="E586" t="inlineStr">
        <is>
          <t>Susitikimas su Egidijumi aptarti pateikto modifikacijų dokumento aprašą, susitikslinti detales.</t>
        </is>
      </c>
      <c r="F586" t="n">
        <v>1.25</v>
      </c>
      <c r="G586" t="inlineStr">
        <is>
          <t>Yes</t>
        </is>
      </c>
      <c r="H586">
        <f>+WEEKNUM(A586)</f>
        <v/>
      </c>
      <c r="I586">
        <f>+YEAR(A586)</f>
        <v/>
      </c>
    </row>
    <row r="587">
      <c r="A587" s="1" t="n">
        <v>45441</v>
      </c>
      <c r="B587" t="inlineStr">
        <is>
          <t>VilMat</t>
        </is>
      </c>
      <c r="C587" t="inlineStr">
        <is>
          <t>Consultant</t>
        </is>
      </c>
      <c r="D587" t="inlineStr">
        <is>
          <t>Support #68773: FR3 Užduočių funkcionalumo pakeitimai</t>
        </is>
      </c>
      <c r="E587" t="inlineStr">
        <is>
          <t>Paanalizuoti poreikį,sukomunikuoti su Egidijumi meet'o pasidarymui</t>
        </is>
      </c>
      <c r="F587" t="n">
        <v>0.5</v>
      </c>
      <c r="G587" t="inlineStr">
        <is>
          <t>Yes</t>
        </is>
      </c>
      <c r="H587">
        <f>+WEEKNUM(A587)</f>
        <v/>
      </c>
      <c r="I587">
        <f>+YEAR(A587)</f>
        <v/>
      </c>
    </row>
    <row r="588">
      <c r="A588" s="1" t="n">
        <v>45441</v>
      </c>
      <c r="B588" t="inlineStr">
        <is>
          <t>PijUog</t>
        </is>
      </c>
      <c r="C588" t="inlineStr">
        <is>
          <t>Project management</t>
        </is>
      </c>
      <c r="D588" t="inlineStr">
        <is>
          <t>Support #65707: Administravimas ir darbų koordinavimas</t>
        </is>
      </c>
      <c r="F588" t="n">
        <v>0.01</v>
      </c>
      <c r="G588" t="inlineStr">
        <is>
          <t>Yes</t>
        </is>
      </c>
      <c r="H588">
        <f>+WEEKNUM(A588)</f>
        <v/>
      </c>
      <c r="I588">
        <f>+YEAR(A588)</f>
        <v/>
      </c>
    </row>
    <row r="589">
      <c r="A589" s="1" t="n">
        <v>45440</v>
      </c>
      <c r="B589" t="inlineStr">
        <is>
          <t>VilMat</t>
        </is>
      </c>
      <c r="C589" t="inlineStr">
        <is>
          <t>Learning</t>
        </is>
      </c>
      <c r="D589" t="inlineStr">
        <is>
          <t>Feature #68573: FR2 Užklausų procesas</t>
        </is>
      </c>
      <c r="E589" t="inlineStr">
        <is>
          <t>Learning - SLA functionality dokumentacijos ir video apžvalgos</t>
        </is>
      </c>
      <c r="F589" t="n">
        <v>1</v>
      </c>
      <c r="G589" t="inlineStr">
        <is>
          <t>No</t>
        </is>
      </c>
      <c r="H589">
        <f>+WEEKNUM(A589)</f>
        <v/>
      </c>
      <c r="I589">
        <f>+YEAR(A589)</f>
        <v/>
      </c>
    </row>
    <row r="590">
      <c r="A590" s="1" t="n">
        <v>45440</v>
      </c>
      <c r="B590" t="inlineStr">
        <is>
          <t>VilMat</t>
        </is>
      </c>
      <c r="C590" t="inlineStr">
        <is>
          <t>Consultant</t>
        </is>
      </c>
      <c r="D590" t="inlineStr">
        <is>
          <t>Feature #68573: FR2 Užklausų procesas</t>
        </is>
      </c>
      <c r="E590" t="inlineStr">
        <is>
          <t>Modifikacijų vertinimas(part)</t>
        </is>
      </c>
      <c r="F590" t="n">
        <v>0.75</v>
      </c>
      <c r="G590" t="inlineStr">
        <is>
          <t>Yes</t>
        </is>
      </c>
      <c r="H590">
        <f>+WEEKNUM(A590)</f>
        <v/>
      </c>
      <c r="I590">
        <f>+YEAR(A590)</f>
        <v/>
      </c>
    </row>
    <row r="591">
      <c r="A591" s="1" t="n">
        <v>45418</v>
      </c>
      <c r="B591" t="inlineStr">
        <is>
          <t>VilMat</t>
        </is>
      </c>
      <c r="C591" t="inlineStr">
        <is>
          <t>Consultant</t>
        </is>
      </c>
      <c r="D591" t="inlineStr">
        <is>
          <t>Support #66960: Naujos užklausų verslo juostos prototipo paruošimas ir pristatymas</t>
        </is>
      </c>
      <c r="E591" t="inlineStr">
        <is>
          <t>Proceso juostos techninis persidarymas ir testavimas, pagal poreikį. Atsakymo klientui su detaliais ekranvaizdžiais kūrimas ir pateikimas.</t>
        </is>
      </c>
      <c r="F591" t="n">
        <v>1.5</v>
      </c>
      <c r="G591" t="inlineStr">
        <is>
          <t>Yes</t>
        </is>
      </c>
      <c r="H591">
        <f>+WEEKNUM(A591)</f>
        <v/>
      </c>
      <c r="I591">
        <f>+YEAR(A591)</f>
        <v/>
      </c>
    </row>
    <row r="592">
      <c r="A592" s="1" t="n">
        <v>45415</v>
      </c>
      <c r="B592" t="inlineStr">
        <is>
          <t>VilMat</t>
        </is>
      </c>
      <c r="C592" t="inlineStr">
        <is>
          <t>Consultant</t>
        </is>
      </c>
      <c r="D592" t="inlineStr">
        <is>
          <t>Support #66960: Naujos užklausų verslo juostos prototipo paruošimas ir pristatymas</t>
        </is>
      </c>
      <c r="E592" t="inlineStr">
        <is>
          <t xml:space="preserve">Patikrinti technines galimybes įgyvendinti poreiki po aptarimo meet'e </t>
        </is>
      </c>
      <c r="F592" t="n">
        <v>1</v>
      </c>
      <c r="G592" t="inlineStr">
        <is>
          <t>Yes</t>
        </is>
      </c>
      <c r="H592">
        <f>+WEEKNUM(A592)</f>
        <v/>
      </c>
      <c r="I592">
        <f>+YEAR(A592)</f>
        <v/>
      </c>
    </row>
    <row r="593">
      <c r="A593" s="1" t="n">
        <v>45408</v>
      </c>
      <c r="B593" t="inlineStr">
        <is>
          <t>VilMat</t>
        </is>
      </c>
      <c r="C593" t="inlineStr">
        <is>
          <t>Consultant</t>
        </is>
      </c>
      <c r="D593" t="inlineStr">
        <is>
          <t>Support #66960: Naujos užklausų verslo juostos prototipo paruošimas ir pristatymas</t>
        </is>
      </c>
      <c r="E593" t="inlineStr">
        <is>
          <t>Prototipo kūrimas(final) - workflow + business rules</t>
        </is>
      </c>
      <c r="F593" t="n">
        <v>1.5</v>
      </c>
      <c r="G593" t="inlineStr">
        <is>
          <t>Yes</t>
        </is>
      </c>
      <c r="H593">
        <f>+WEEKNUM(A593)</f>
        <v/>
      </c>
      <c r="I593">
        <f>+YEAR(A593)</f>
        <v/>
      </c>
    </row>
    <row r="594">
      <c r="A594" s="1" t="n">
        <v>45408</v>
      </c>
      <c r="B594" t="inlineStr">
        <is>
          <t>VilMat</t>
        </is>
      </c>
      <c r="C594" t="inlineStr">
        <is>
          <t>Consultant</t>
        </is>
      </c>
      <c r="D594" t="inlineStr">
        <is>
          <t>Support #66960: Naujos užklausų verslo juostos prototipo paruošimas ir pristatymas</t>
        </is>
      </c>
      <c r="E594" t="inlineStr">
        <is>
          <t>Prototipo pristatymas LTG</t>
        </is>
      </c>
      <c r="F594" t="n">
        <v>0.75</v>
      </c>
      <c r="G594" t="inlineStr">
        <is>
          <t>Yes</t>
        </is>
      </c>
      <c r="H594">
        <f>+WEEKNUM(A594)</f>
        <v/>
      </c>
      <c r="I594">
        <f>+YEAR(A594)</f>
        <v/>
      </c>
    </row>
    <row r="595">
      <c r="A595" s="1" t="n">
        <v>45407</v>
      </c>
      <c r="B595" t="inlineStr">
        <is>
          <t>VilMat</t>
        </is>
      </c>
      <c r="C595" t="inlineStr">
        <is>
          <t>Consultant</t>
        </is>
      </c>
      <c r="D595" t="inlineStr">
        <is>
          <t>Support #66960: Naujos užklausų verslo juostos prototipo paruošimas ir pristatymas</t>
        </is>
      </c>
      <c r="E595" t="inlineStr">
        <is>
          <t>Prototipo kūrimas(part)</t>
        </is>
      </c>
      <c r="F595" t="n">
        <v>2.25</v>
      </c>
      <c r="G595" t="inlineStr">
        <is>
          <t>Yes</t>
        </is>
      </c>
      <c r="H595">
        <f>+WEEKNUM(A595)</f>
        <v/>
      </c>
      <c r="I595">
        <f>+YEAR(A595)</f>
        <v/>
      </c>
    </row>
    <row r="596">
      <c r="A596" s="1" t="n">
        <v>45406</v>
      </c>
      <c r="B596" t="inlineStr">
        <is>
          <t>VilMat</t>
        </is>
      </c>
      <c r="C596" t="inlineStr">
        <is>
          <t>Consultant</t>
        </is>
      </c>
      <c r="D596" t="inlineStr">
        <is>
          <t>Support #66960: Naujos užklausų verslo juostos prototipo paruošimas ir pristatymas</t>
        </is>
      </c>
      <c r="E596" t="inlineStr">
        <is>
          <t>Prototipo kūrimas</t>
        </is>
      </c>
      <c r="F596" t="n">
        <v>1.5</v>
      </c>
      <c r="G596" t="inlineStr">
        <is>
          <t>Yes</t>
        </is>
      </c>
      <c r="H596">
        <f>+WEEKNUM(A596)</f>
        <v/>
      </c>
      <c r="I596">
        <f>+YEAR(A596)</f>
        <v/>
      </c>
    </row>
    <row r="597">
      <c r="A597" s="1" t="n">
        <v>45405</v>
      </c>
      <c r="B597" t="inlineStr">
        <is>
          <t>VilMat</t>
        </is>
      </c>
      <c r="C597" t="inlineStr">
        <is>
          <t>Consultant</t>
        </is>
      </c>
      <c r="D597" t="inlineStr">
        <is>
          <t>Support #67288: Rizikos vertinimo lauko užkeitimas</t>
        </is>
      </c>
      <c r="E597" t="inlineStr">
        <is>
          <t>Komunikacija su Egidijumi, dėl poreikio tikslumo ir galutinio rezultato per Teams</t>
        </is>
      </c>
      <c r="F597" t="n">
        <v>0.5</v>
      </c>
      <c r="G597" t="inlineStr">
        <is>
          <t>Yes</t>
        </is>
      </c>
      <c r="H597">
        <f>+WEEKNUM(A597)</f>
        <v/>
      </c>
      <c r="I597">
        <f>+YEAR(A597)</f>
        <v/>
      </c>
    </row>
    <row r="598">
      <c r="A598" s="1" t="n">
        <v>45405</v>
      </c>
      <c r="B598" t="inlineStr">
        <is>
          <t>VilMat</t>
        </is>
      </c>
      <c r="C598" t="inlineStr">
        <is>
          <t>Consultant</t>
        </is>
      </c>
      <c r="D598" t="inlineStr">
        <is>
          <t>Support #67288: Rizikos vertinimo lauko užkeitimas</t>
        </is>
      </c>
      <c r="E598" t="inlineStr">
        <is>
          <t>Vertinimas</t>
        </is>
      </c>
      <c r="F598" t="n">
        <v>0.75</v>
      </c>
      <c r="G598" t="inlineStr">
        <is>
          <t>Yes</t>
        </is>
      </c>
      <c r="H598">
        <f>+WEEKNUM(A598)</f>
        <v/>
      </c>
      <c r="I598">
        <f>+YEAR(A598)</f>
        <v/>
      </c>
    </row>
    <row r="599">
      <c r="A599" s="1" t="n">
        <v>45405</v>
      </c>
      <c r="B599" t="inlineStr">
        <is>
          <t>VilMat</t>
        </is>
      </c>
      <c r="C599" t="inlineStr">
        <is>
          <t>Consultant</t>
        </is>
      </c>
      <c r="D599" t="inlineStr">
        <is>
          <t>Support #67288: Rizikos vertinimo lauko užkeitimas</t>
        </is>
      </c>
      <c r="E599" t="inlineStr">
        <is>
          <t>Esamos funkcijos patikrinimas, kaip veikia.</t>
        </is>
      </c>
      <c r="F599" t="n">
        <v>0.5</v>
      </c>
      <c r="G599" t="inlineStr">
        <is>
          <t>Yes</t>
        </is>
      </c>
      <c r="H599">
        <f>+WEEKNUM(A599)</f>
        <v/>
      </c>
      <c r="I599">
        <f>+YEAR(A599)</f>
        <v/>
      </c>
    </row>
    <row r="600">
      <c r="A600" s="1" t="n">
        <v>45405</v>
      </c>
      <c r="B600" t="inlineStr">
        <is>
          <t>VilMat</t>
        </is>
      </c>
      <c r="C600" t="inlineStr">
        <is>
          <t>Consultant</t>
        </is>
      </c>
      <c r="D600" t="inlineStr">
        <is>
          <t>Feature #67630: Teams Adaptive Cards - Pakartotiniai pranešimai nurodytam asmeniui į Teams apie tą pačią užduotį</t>
        </is>
      </c>
      <c r="E600" t="inlineStr">
        <is>
          <t>Discussion regarding open question, flow analysis, testing, solution proposal to customer</t>
        </is>
      </c>
      <c r="F600" t="n">
        <v>1.75</v>
      </c>
      <c r="G600" t="inlineStr">
        <is>
          <t>Yes</t>
        </is>
      </c>
      <c r="H600">
        <f>+WEEKNUM(A600)</f>
        <v/>
      </c>
      <c r="I600">
        <f>+YEAR(A600)</f>
        <v/>
      </c>
    </row>
    <row r="601">
      <c r="A601" s="1" t="n">
        <v>45397</v>
      </c>
      <c r="B601" t="inlineStr">
        <is>
          <t>PijUog</t>
        </is>
      </c>
      <c r="C601" t="inlineStr">
        <is>
          <t>Project management</t>
        </is>
      </c>
      <c r="D601" t="inlineStr">
        <is>
          <t>Support #65707: Administravimas ir darbų koordinavimas</t>
        </is>
      </c>
      <c r="F601" t="n">
        <v>0.01</v>
      </c>
      <c r="G601" t="inlineStr">
        <is>
          <t>Yes</t>
        </is>
      </c>
      <c r="H601">
        <f>+WEEKNUM(A601)</f>
        <v/>
      </c>
      <c r="I601">
        <f>+YEAR(A601)</f>
        <v/>
      </c>
    </row>
    <row r="602">
      <c r="A602" s="1" t="n">
        <v>45390</v>
      </c>
      <c r="B602" t="inlineStr">
        <is>
          <t>VilMat</t>
        </is>
      </c>
      <c r="C602" t="inlineStr">
        <is>
          <t>Consultant</t>
        </is>
      </c>
      <c r="D602" t="inlineStr">
        <is>
          <t>Support #66960: Naujos užklausų verslo juostos prototipo paruošimas ir pristatymas</t>
        </is>
      </c>
      <c r="E602" t="inlineStr">
        <is>
          <t>Komunikacija su Egidijumi dėl prototipo ir pristatymo derinimas</t>
        </is>
      </c>
      <c r="F602" t="n">
        <v>0.25</v>
      </c>
      <c r="G602" t="inlineStr">
        <is>
          <t>Yes</t>
        </is>
      </c>
      <c r="H602">
        <f>+WEEKNUM(A602)</f>
        <v/>
      </c>
      <c r="I602">
        <f>+YEAR(A602)</f>
        <v/>
      </c>
    </row>
    <row r="603">
      <c r="A603" s="1" t="n">
        <v>45385</v>
      </c>
      <c r="B603" t="inlineStr">
        <is>
          <t>VilMat</t>
        </is>
      </c>
      <c r="C603" t="inlineStr">
        <is>
          <t>Consultant</t>
        </is>
      </c>
      <c r="D603" t="inlineStr">
        <is>
          <t>Support #65488: FR1 Subject/Kreipinio tipas skaidymas į du atskirus laukus</t>
        </is>
      </c>
      <c r="E603" t="inlineStr">
        <is>
          <t>Pasiruošimas susitikimui su klientu aptarti proceso juostos keitimo galimybes</t>
        </is>
      </c>
      <c r="F603" t="n">
        <v>0.5</v>
      </c>
      <c r="G603" t="inlineStr">
        <is>
          <t>Yes</t>
        </is>
      </c>
      <c r="H603">
        <f>+WEEKNUM(A603)</f>
        <v/>
      </c>
      <c r="I603">
        <f>+YEAR(A603)</f>
        <v/>
      </c>
    </row>
    <row r="604">
      <c r="A604" s="1" t="n">
        <v>45385</v>
      </c>
      <c r="B604" t="inlineStr">
        <is>
          <t>VilMat</t>
        </is>
      </c>
      <c r="C604" t="inlineStr">
        <is>
          <t>Consultant</t>
        </is>
      </c>
      <c r="D604" t="inlineStr">
        <is>
          <t>Support #65488: FR1 Subject/Kreipinio tipas skaidymas į du atskirus laukus</t>
        </is>
      </c>
      <c r="E604" t="inlineStr">
        <is>
          <t>CRM užklausos proceso techninis susitikimas</t>
        </is>
      </c>
      <c r="F604" t="n">
        <v>1</v>
      </c>
      <c r="G604" t="inlineStr">
        <is>
          <t>Yes</t>
        </is>
      </c>
      <c r="H604">
        <f>+WEEKNUM(A604)</f>
        <v/>
      </c>
      <c r="I604">
        <f>+YEAR(A604)</f>
        <v/>
      </c>
    </row>
    <row r="605">
      <c r="A605" s="1" t="n">
        <v>45385</v>
      </c>
      <c r="B605" t="inlineStr">
        <is>
          <t>GabKoj</t>
        </is>
      </c>
      <c r="C605" t="inlineStr">
        <is>
          <t>Developer</t>
        </is>
      </c>
      <c r="D605" t="inlineStr">
        <is>
          <t>Support #65488: FR1 Subject/Kreipinio tipas skaidymas į du atskirus laukus</t>
        </is>
      </c>
      <c r="E605" t="inlineStr">
        <is>
          <t>CRM užklausos proceso techninis susitikimas</t>
        </is>
      </c>
      <c r="F605" t="n">
        <v>1</v>
      </c>
      <c r="G605" t="inlineStr">
        <is>
          <t>Yes</t>
        </is>
      </c>
      <c r="H605">
        <f>+WEEKNUM(A605)</f>
        <v/>
      </c>
      <c r="I605">
        <f>+YEAR(A605)</f>
        <v/>
      </c>
    </row>
    <row r="606">
      <c r="A606" s="1" t="n">
        <v>45378</v>
      </c>
      <c r="B606" t="inlineStr">
        <is>
          <t>PijUog</t>
        </is>
      </c>
      <c r="C606" t="inlineStr">
        <is>
          <t>Project management</t>
        </is>
      </c>
      <c r="D606" t="inlineStr">
        <is>
          <t>Support #65707: Administravimas ir darbų koordinavimas</t>
        </is>
      </c>
      <c r="F606" t="n">
        <v>0.01</v>
      </c>
      <c r="G606" t="inlineStr">
        <is>
          <t>Yes</t>
        </is>
      </c>
      <c r="H606">
        <f>+WEEKNUM(A606)</f>
        <v/>
      </c>
      <c r="I606">
        <f>+YEAR(A606)</f>
        <v/>
      </c>
    </row>
    <row r="607">
      <c r="A607" s="1" t="n">
        <v>45369</v>
      </c>
      <c r="B607" t="inlineStr">
        <is>
          <t>VilMat</t>
        </is>
      </c>
      <c r="C607" t="inlineStr">
        <is>
          <t>Consultant</t>
        </is>
      </c>
      <c r="D607" t="inlineStr">
        <is>
          <t>Support #65488: FR1 Subject/Kreipinio tipas skaidymas į du atskirus laukus</t>
        </is>
      </c>
      <c r="E607" t="inlineStr">
        <is>
          <t>Pasiruošti susitikimui, pasidaryti pavyzdžių</t>
        </is>
      </c>
      <c r="F607" t="n">
        <v>0.5</v>
      </c>
      <c r="G607" t="inlineStr">
        <is>
          <t>Yes</t>
        </is>
      </c>
      <c r="H607">
        <f>+WEEKNUM(A607)</f>
        <v/>
      </c>
      <c r="I607">
        <f>+YEAR(A607)</f>
        <v/>
      </c>
    </row>
    <row r="608">
      <c r="A608" s="1" t="n">
        <v>45369</v>
      </c>
      <c r="B608" t="inlineStr">
        <is>
          <t>VilMat</t>
        </is>
      </c>
      <c r="C608" t="inlineStr">
        <is>
          <t>Consultant</t>
        </is>
      </c>
      <c r="D608" t="inlineStr">
        <is>
          <t>Support #65488: FR1 Subject/Kreipinio tipas skaidymas į du atskirus laukus</t>
        </is>
      </c>
      <c r="E608" t="inlineStr">
        <is>
          <t>Susitikimas su klientu (Egidijus, Justina) aptarti galimos funkcijos įgyvendinimą.</t>
        </is>
      </c>
      <c r="F608" t="n">
        <v>0.5</v>
      </c>
      <c r="G608" t="inlineStr">
        <is>
          <t>Yes</t>
        </is>
      </c>
      <c r="H608">
        <f>+WEEKNUM(A608)</f>
        <v/>
      </c>
      <c r="I608">
        <f>+YEAR(A608)</f>
        <v/>
      </c>
    </row>
    <row r="609">
      <c r="A609" s="1" t="n">
        <v>45365</v>
      </c>
      <c r="B609" t="inlineStr">
        <is>
          <t>VilMat</t>
        </is>
      </c>
      <c r="C609" t="inlineStr">
        <is>
          <t>Consultant</t>
        </is>
      </c>
      <c r="D609" t="inlineStr">
        <is>
          <t>Support #65488: FR1 Subject/Kreipinio tipas skaidymas į du atskirus laukus</t>
        </is>
      </c>
      <c r="E609" t="inlineStr">
        <is>
          <t>Sprendimo analizė, bandymai, testavimas ir vertinimas</t>
        </is>
      </c>
      <c r="F609" t="n">
        <v>6</v>
      </c>
      <c r="G609" t="inlineStr">
        <is>
          <t>Yes</t>
        </is>
      </c>
      <c r="H609">
        <f>+WEEKNUM(A609)</f>
        <v/>
      </c>
      <c r="I609">
        <f>+YEAR(A609)</f>
        <v/>
      </c>
    </row>
    <row r="610">
      <c r="A610" s="1" t="n">
        <v>45342</v>
      </c>
      <c r="B610" t="inlineStr">
        <is>
          <t>VilMat</t>
        </is>
      </c>
      <c r="C610" t="inlineStr">
        <is>
          <t>Consultant</t>
        </is>
      </c>
      <c r="D610" t="inlineStr">
        <is>
          <t>Support #63997: Segmento lauko sukūrimas</t>
        </is>
      </c>
      <c r="E610" t="inlineStr">
        <is>
          <t>BUG - Vartotojai nemato lauke reikšmių. Pataisymai sistemoje, kad matytų reikšmes visi vartotojai.</t>
        </is>
      </c>
      <c r="F610" t="n">
        <v>0.5</v>
      </c>
      <c r="G610" t="inlineStr">
        <is>
          <t>No</t>
        </is>
      </c>
      <c r="H610">
        <f>+WEEKNUM(A610)</f>
        <v/>
      </c>
      <c r="I610">
        <f>+YEAR(A610)</f>
        <v/>
      </c>
    </row>
    <row r="611">
      <c r="A611" s="1" t="n">
        <v>45341</v>
      </c>
      <c r="B611" t="inlineStr">
        <is>
          <t>VilMat</t>
        </is>
      </c>
      <c r="C611" t="inlineStr">
        <is>
          <t>Consultant</t>
        </is>
      </c>
      <c r="D611" t="inlineStr">
        <is>
          <t>Support #65488: FR1 Subject/Kreipinio tipas skaidymas į du atskirus laukus</t>
        </is>
      </c>
      <c r="E611" t="inlineStr">
        <is>
          <t>Galimų variantų identifikavimas gebėti valdyti komandas ir vartotojus, kurie galės matyti temas/potemes</t>
        </is>
      </c>
      <c r="F611" t="n">
        <v>0.75</v>
      </c>
      <c r="G611" t="inlineStr">
        <is>
          <t>Yes</t>
        </is>
      </c>
      <c r="H611">
        <f>+WEEKNUM(A611)</f>
        <v/>
      </c>
      <c r="I611">
        <f>+YEAR(A611)</f>
        <v/>
      </c>
    </row>
    <row r="612">
      <c r="A612" s="1" t="n">
        <v>45341</v>
      </c>
      <c r="B612" t="inlineStr">
        <is>
          <t>VilMat</t>
        </is>
      </c>
      <c r="C612" t="inlineStr">
        <is>
          <t>Consultant</t>
        </is>
      </c>
      <c r="D612" t="inlineStr">
        <is>
          <t>Support #65488: FR1 Subject/Kreipinio tipas skaidymas į du atskirus laukus</t>
        </is>
      </c>
      <c r="E612" t="inlineStr">
        <is>
          <t>Patikrinti standartinį sprendimą, kaip veikia, kiek galima jį modifikuoti</t>
        </is>
      </c>
      <c r="F612" t="n">
        <v>0.5</v>
      </c>
      <c r="G612" t="inlineStr">
        <is>
          <t>Yes</t>
        </is>
      </c>
      <c r="H612">
        <f>+WEEKNUM(A612)</f>
        <v/>
      </c>
      <c r="I612">
        <f>+YEAR(A612)</f>
        <v/>
      </c>
    </row>
    <row r="613">
      <c r="A613" s="1" t="n">
        <v>45341</v>
      </c>
      <c r="B613" t="inlineStr">
        <is>
          <t>VilMat</t>
        </is>
      </c>
      <c r="C613" t="inlineStr">
        <is>
          <t>Consultant</t>
        </is>
      </c>
      <c r="D613" t="inlineStr">
        <is>
          <t>Support #65488: FR1 Subject/Kreipinio tipas skaidymas į du atskirus laukus</t>
        </is>
      </c>
      <c r="E613" t="inlineStr">
        <is>
          <t>Teams Call  - Skambutis su LTG Egidijumi, dėl sprendimo realizavimo, rizikų ir papildomų išlygų, kurios bus reikalingos galėti valdyti</t>
        </is>
      </c>
      <c r="F613" t="n">
        <v>0.75</v>
      </c>
      <c r="G613" t="inlineStr">
        <is>
          <t>Yes</t>
        </is>
      </c>
      <c r="H613">
        <f>+WEEKNUM(A613)</f>
        <v/>
      </c>
      <c r="I613">
        <f>+YEAR(A613)</f>
        <v/>
      </c>
    </row>
    <row r="614">
      <c r="A614" s="1" t="n">
        <v>45341</v>
      </c>
      <c r="B614" t="inlineStr">
        <is>
          <t>VilMat</t>
        </is>
      </c>
      <c r="C614" t="inlineStr">
        <is>
          <t>Consultant</t>
        </is>
      </c>
      <c r="D614" t="inlineStr">
        <is>
          <t>Support #65488: FR1 Subject/Kreipinio tipas skaidymas į du atskirus laukus</t>
        </is>
      </c>
      <c r="E614" t="inlineStr">
        <is>
          <t>Patikrinti galimus sprendimo variantus. Apgalvoti visą sprendimo įgyvendinimo schemą.</t>
        </is>
      </c>
      <c r="F614" t="n">
        <v>1.5</v>
      </c>
      <c r="G614" t="inlineStr">
        <is>
          <t>Yes</t>
        </is>
      </c>
      <c r="H614">
        <f>+WEEKNUM(A614)</f>
        <v/>
      </c>
      <c r="I614">
        <f>+YEAR(A614)</f>
        <v/>
      </c>
    </row>
    <row r="615">
      <c r="A615" s="1" t="n">
        <v>45337</v>
      </c>
      <c r="B615" t="inlineStr">
        <is>
          <t>VilMat</t>
        </is>
      </c>
      <c r="C615" t="inlineStr">
        <is>
          <t>Consultant</t>
        </is>
      </c>
      <c r="D615" t="inlineStr">
        <is>
          <t>Support #63997: Segmento lauko sukūrimas</t>
        </is>
      </c>
      <c r="E615" t="inlineStr">
        <is>
          <t>Perkeliamo solution patch'o trikdžių šalinimas. Importuojamas excel failas su duomenims. Reimportacijos tiems įrašams, kurių sistema neatnaujino arba negali atnaujinti.</t>
        </is>
      </c>
      <c r="F615" t="n">
        <v>1.75</v>
      </c>
      <c r="G615" t="inlineStr">
        <is>
          <t>Yes</t>
        </is>
      </c>
      <c r="H615">
        <f>+WEEKNUM(A615)</f>
        <v/>
      </c>
      <c r="I615">
        <f>+YEAR(A615)</f>
        <v/>
      </c>
    </row>
    <row r="616">
      <c r="A616" s="1" t="n">
        <v>45336</v>
      </c>
      <c r="B616" t="inlineStr">
        <is>
          <t>VilMat</t>
        </is>
      </c>
      <c r="C616" t="inlineStr">
        <is>
          <t>Consultant</t>
        </is>
      </c>
      <c r="D616" t="inlineStr">
        <is>
          <t>Support #63997: Segmento lauko sukūrimas</t>
        </is>
      </c>
      <c r="E616" t="inlineStr">
        <is>
          <t>Vertimai į Lietuvių kalbą, rolių keitimas, lauko rolių korekcija, testavimas. Test aplinkos sprendimo (solution) atnaujinimas su naujausiais pakeitimais.</t>
        </is>
      </c>
      <c r="F616" t="n">
        <v>2.75</v>
      </c>
      <c r="G616" t="inlineStr">
        <is>
          <t>Yes</t>
        </is>
      </c>
      <c r="H616">
        <f>+WEEKNUM(A616)</f>
        <v/>
      </c>
      <c r="I616">
        <f>+YEAR(A616)</f>
        <v/>
      </c>
    </row>
    <row r="617">
      <c r="A617" s="1" t="n">
        <v>45328</v>
      </c>
      <c r="B617" t="inlineStr">
        <is>
          <t>VilMat</t>
        </is>
      </c>
      <c r="C617" t="inlineStr">
        <is>
          <t>Consultant</t>
        </is>
      </c>
      <c r="D617" t="inlineStr">
        <is>
          <t>Support #63997: Segmento lauko sukūrimas</t>
        </is>
      </c>
      <c r="E617" t="inlineStr">
        <is>
          <t>Atsakyti klientui į papildomus klausimus, suformuoti naują Excel šabloną ir persiųsti klientui.</t>
        </is>
      </c>
      <c r="F617" t="n">
        <v>0.5</v>
      </c>
      <c r="G617" t="inlineStr">
        <is>
          <t>Yes</t>
        </is>
      </c>
      <c r="H617">
        <f>+WEEKNUM(A617)</f>
        <v/>
      </c>
      <c r="I617">
        <f>+YEAR(A617)</f>
        <v/>
      </c>
    </row>
    <row r="618">
      <c r="A618" s="1" t="n">
        <v>45321</v>
      </c>
      <c r="B618" t="inlineStr">
        <is>
          <t>VilMat</t>
        </is>
      </c>
      <c r="C618" t="inlineStr">
        <is>
          <t>Learning</t>
        </is>
      </c>
      <c r="D618" t="inlineStr">
        <is>
          <t>Support #63997: Segmento lauko sukūrimas</t>
        </is>
      </c>
      <c r="E618" t="inlineStr">
        <is>
          <t>BUG - Nepavyksta lengvai perkelti solution'ų, dėl egzistuojančių unmanaged layer'ių test environment'e.</t>
        </is>
      </c>
      <c r="F618" t="n">
        <v>1</v>
      </c>
      <c r="G618" t="inlineStr">
        <is>
          <t>Yes</t>
        </is>
      </c>
      <c r="H618">
        <f>+WEEKNUM(A618)</f>
        <v/>
      </c>
      <c r="I618">
        <f>+YEAR(A618)</f>
        <v/>
      </c>
    </row>
    <row r="619">
      <c r="A619" s="1" t="n">
        <v>45321</v>
      </c>
      <c r="B619" t="inlineStr">
        <is>
          <t>VilMat</t>
        </is>
      </c>
      <c r="C619" t="inlineStr">
        <is>
          <t>Consultant</t>
        </is>
      </c>
      <c r="D619" t="inlineStr">
        <is>
          <t>Support #63997: Segmento lauko sukūrimas</t>
        </is>
      </c>
      <c r="E619" t="inlineStr">
        <is>
          <t>Šablono paruošimas duomenų importui, update klientui, solution perkėlimas iš DEV į TEST</t>
        </is>
      </c>
      <c r="F619" t="n">
        <v>1</v>
      </c>
      <c r="G619" t="inlineStr">
        <is>
          <t>Yes</t>
        </is>
      </c>
      <c r="H619">
        <f>+WEEKNUM(A619)</f>
        <v/>
      </c>
      <c r="I619">
        <f>+YEAR(A619)</f>
        <v/>
      </c>
    </row>
    <row r="620">
      <c r="A620" s="1" t="n">
        <v>45321</v>
      </c>
      <c r="B620" t="inlineStr">
        <is>
          <t>VilMat</t>
        </is>
      </c>
      <c r="C620" t="inlineStr">
        <is>
          <t>Learning</t>
        </is>
      </c>
      <c r="D620" t="inlineStr">
        <is>
          <t>Support #63997: Segmento lauko sukūrimas</t>
        </is>
      </c>
      <c r="E620" t="inlineStr">
        <is>
          <t>Learning - Field Security Profiles - geroji praktika, dokumentacija</t>
        </is>
      </c>
      <c r="F620" t="n">
        <v>0.75</v>
      </c>
      <c r="G620" t="inlineStr">
        <is>
          <t>Yes</t>
        </is>
      </c>
      <c r="H620">
        <f>+WEEKNUM(A620)</f>
        <v/>
      </c>
      <c r="I620">
        <f>+YEAR(A620)</f>
        <v/>
      </c>
    </row>
    <row r="621">
      <c r="A621" s="1" t="n">
        <v>45321</v>
      </c>
      <c r="B621" t="inlineStr">
        <is>
          <t>VilMat</t>
        </is>
      </c>
      <c r="C621" t="inlineStr">
        <is>
          <t>Consultant</t>
        </is>
      </c>
      <c r="D621" t="inlineStr">
        <is>
          <t>Support #63997: Segmento lauko sukūrimas</t>
        </is>
      </c>
      <c r="E621" t="inlineStr">
        <is>
          <t>Sprendimo kūrimas, teisių, įrašų sukūrimas, importo bandymai, testavimas impersonuojant kitus vartotojus</t>
        </is>
      </c>
      <c r="F621" t="n">
        <v>4.5</v>
      </c>
      <c r="G621" t="inlineStr">
        <is>
          <t>Yes</t>
        </is>
      </c>
      <c r="H621">
        <f>+WEEKNUM(A621)</f>
        <v/>
      </c>
      <c r="I621">
        <f>+YEAR(A621)</f>
        <v/>
      </c>
    </row>
    <row r="622">
      <c r="A622" s="1" t="n">
        <v>45320</v>
      </c>
      <c r="B622" t="inlineStr">
        <is>
          <t>VilMat</t>
        </is>
      </c>
      <c r="C622" t="inlineStr">
        <is>
          <t>Consultant</t>
        </is>
      </c>
      <c r="D622" t="inlineStr">
        <is>
          <t>Support #63997: Segmento lauko sukūrimas</t>
        </is>
      </c>
      <c r="E622" t="inlineStr">
        <is>
          <t>VIP field deletion from system forms, views. New "segment" entity creation.</t>
        </is>
      </c>
      <c r="F622" t="n">
        <v>2</v>
      </c>
      <c r="G622" t="inlineStr">
        <is>
          <t>Yes</t>
        </is>
      </c>
      <c r="H622">
        <f>+WEEKNUM(A622)</f>
        <v/>
      </c>
      <c r="I622">
        <f>+YEAR(A622)</f>
        <v/>
      </c>
    </row>
    <row r="623">
      <c r="A623" s="1" t="n">
        <v>45303</v>
      </c>
      <c r="B623" t="inlineStr">
        <is>
          <t>VilMat</t>
        </is>
      </c>
      <c r="C623" t="inlineStr">
        <is>
          <t>Meeting</t>
        </is>
      </c>
      <c r="D623" t="inlineStr">
        <is>
          <t>Support #63997: Segmento lauko sukūrimas</t>
        </is>
      </c>
      <c r="E623" t="inlineStr">
        <is>
          <t>Teams call - Vertinimo peržiūra su Ugniumi</t>
        </is>
      </c>
      <c r="F623" t="n">
        <v>0.5</v>
      </c>
      <c r="G623" t="inlineStr">
        <is>
          <t>Yes</t>
        </is>
      </c>
      <c r="H623">
        <f>+WEEKNUM(A623)</f>
        <v/>
      </c>
      <c r="I623">
        <f>+YEAR(A623)</f>
        <v/>
      </c>
    </row>
    <row r="624">
      <c r="A624" s="1" t="n">
        <v>45303</v>
      </c>
      <c r="B624" t="inlineStr">
        <is>
          <t>VilMat</t>
        </is>
      </c>
      <c r="C624" t="inlineStr">
        <is>
          <t>Consultant</t>
        </is>
      </c>
      <c r="D624" t="inlineStr">
        <is>
          <t>Support #63997: Segmento lauko sukūrimas</t>
        </is>
      </c>
      <c r="E624" t="inlineStr">
        <is>
          <t>Analizės ir vertinimo paruošimas</t>
        </is>
      </c>
      <c r="F624" t="n">
        <v>2</v>
      </c>
      <c r="G624" t="inlineStr">
        <is>
          <t>Yes</t>
        </is>
      </c>
      <c r="H624">
        <f>+WEEKNUM(A624)</f>
        <v/>
      </c>
      <c r="I624">
        <f>+YEAR(A624)</f>
        <v/>
      </c>
    </row>
    <row r="625">
      <c r="A625" s="1" t="n">
        <v>44607</v>
      </c>
      <c r="B625" t="inlineStr">
        <is>
          <t>UgnMar</t>
        </is>
      </c>
      <c r="C625" t="inlineStr">
        <is>
          <t>Project management</t>
        </is>
      </c>
      <c r="D625" t="inlineStr">
        <is>
          <t>Support #39120: Susitikimai su EY, LTG, Vidiniai susitikimai</t>
        </is>
      </c>
      <c r="E625" t="inlineStr">
        <is>
          <t>Aptarimas su EY</t>
        </is>
      </c>
      <c r="F625" t="n">
        <v>0.5</v>
      </c>
      <c r="G625" t="inlineStr">
        <is>
          <t>Yes</t>
        </is>
      </c>
      <c r="H625">
        <f>+WEEKNUM(A625)</f>
        <v/>
      </c>
      <c r="I625">
        <f>+YEAR(A625)</f>
        <v/>
      </c>
    </row>
    <row r="626">
      <c r="A626" s="1" t="n">
        <v>44545</v>
      </c>
      <c r="B626" t="inlineStr">
        <is>
          <t>EdvRek</t>
        </is>
      </c>
      <c r="C626" t="inlineStr">
        <is>
          <t>Developer</t>
        </is>
      </c>
      <c r="D626" t="inlineStr">
        <is>
          <t>Support #39121: Programavimas</t>
        </is>
      </c>
      <c r="E626" t="inlineStr">
        <is>
          <t>expressjs serverio kurimo research, analysis, install</t>
        </is>
      </c>
      <c r="F626" t="n">
        <v>5</v>
      </c>
      <c r="G626" t="inlineStr">
        <is>
          <t>Yes</t>
        </is>
      </c>
      <c r="H626">
        <f>+WEEKNUM(A626)</f>
        <v/>
      </c>
      <c r="I626">
        <f>+YEAR(A626)</f>
        <v/>
      </c>
    </row>
    <row r="627">
      <c r="A627" s="1" t="n">
        <v>44543</v>
      </c>
      <c r="B627" t="inlineStr">
        <is>
          <t>EdvRek</t>
        </is>
      </c>
      <c r="C627" t="inlineStr">
        <is>
          <t>Project management</t>
        </is>
      </c>
      <c r="D627" t="inlineStr">
        <is>
          <t>Support #39120: Susitikimai su EY, LTG, Vidiniai susitikimai</t>
        </is>
      </c>
      <c r="E627" t="inlineStr">
        <is>
          <t>aptarimai procesu dokumento su Ugnium + Rima</t>
        </is>
      </c>
      <c r="F627" t="n">
        <v>1.5</v>
      </c>
      <c r="G627" t="inlineStr">
        <is>
          <t>Yes</t>
        </is>
      </c>
      <c r="H627">
        <f>+WEEKNUM(A627)</f>
        <v/>
      </c>
      <c r="I627">
        <f>+YEAR(A627)</f>
        <v/>
      </c>
    </row>
    <row r="628">
      <c r="A628" s="1" t="n">
        <v>44543</v>
      </c>
      <c r="B628" t="inlineStr">
        <is>
          <t>UgnMar</t>
        </is>
      </c>
      <c r="C628" t="inlineStr">
        <is>
          <t>Project management</t>
        </is>
      </c>
      <c r="D628" t="inlineStr">
        <is>
          <t>Support #39120: Susitikimai su EY, LTG, Vidiniai susitikimai</t>
        </is>
      </c>
      <c r="E628" t="inlineStr">
        <is>
          <t>Aptarimas su Edvin dėl klausimų/komentarų, po to su Rima ir atskirai komentarų tvarkymas</t>
        </is>
      </c>
      <c r="F628" t="n">
        <v>1.5</v>
      </c>
      <c r="G628" t="inlineStr">
        <is>
          <t>Yes</t>
        </is>
      </c>
      <c r="H628">
        <f>+WEEKNUM(A628)</f>
        <v/>
      </c>
      <c r="I628">
        <f>+YEAR(A628)</f>
        <v/>
      </c>
    </row>
    <row r="629">
      <c r="A629" s="1" t="n">
        <v>44540</v>
      </c>
      <c r="B629" t="inlineStr">
        <is>
          <t>UgnMar</t>
        </is>
      </c>
      <c r="C629" t="inlineStr">
        <is>
          <t>Project management</t>
        </is>
      </c>
      <c r="D629" t="inlineStr">
        <is>
          <t>Support #39120: Susitikimai su EY, LTG, Vidiniai susitikimai</t>
        </is>
      </c>
      <c r="E629" t="inlineStr">
        <is>
          <t>Komentarai į LTG aprašytą procesą, su Edvinu short meeting, su Rima status</t>
        </is>
      </c>
      <c r="F629" t="n">
        <v>2.5</v>
      </c>
      <c r="G629" t="inlineStr">
        <is>
          <t>Yes</t>
        </is>
      </c>
      <c r="H629">
        <f>+WEEKNUM(A629)</f>
        <v/>
      </c>
      <c r="I629">
        <f>+YEAR(A629)</f>
        <v/>
      </c>
    </row>
    <row r="630">
      <c r="A630" s="1" t="n">
        <v>44540</v>
      </c>
      <c r="B630" t="inlineStr">
        <is>
          <t>UgnMar</t>
        </is>
      </c>
      <c r="C630" t="inlineStr">
        <is>
          <t>Project management</t>
        </is>
      </c>
      <c r="D630" t="inlineStr">
        <is>
          <t>Support #39120: Susitikimai su EY, LTG, Vidiniai susitikimai</t>
        </is>
      </c>
      <c r="E630" t="inlineStr">
        <is>
          <t>Aptarimas su Rima, status</t>
        </is>
      </c>
      <c r="F630" t="n">
        <v>0.5</v>
      </c>
      <c r="G630" t="inlineStr">
        <is>
          <t>Yes</t>
        </is>
      </c>
      <c r="H630">
        <f>+WEEKNUM(A630)</f>
        <v/>
      </c>
      <c r="I630">
        <f>+YEAR(A630)</f>
        <v/>
      </c>
    </row>
    <row r="631">
      <c r="A631" s="1" t="n">
        <v>44530</v>
      </c>
      <c r="B631" t="inlineStr">
        <is>
          <t>EdvRek</t>
        </is>
      </c>
      <c r="C631" t="inlineStr">
        <is>
          <t>Developer</t>
        </is>
      </c>
      <c r="D631" t="inlineStr">
        <is>
          <t>Support #39342: Programuotojo pasiruosimas/mokymasis</t>
        </is>
      </c>
      <c r="E631" t="inlineStr">
        <is>
          <t>techniniu klausimu paruosimas pries kiwi meeta</t>
        </is>
      </c>
      <c r="F631" t="n">
        <v>3</v>
      </c>
      <c r="G631" t="inlineStr">
        <is>
          <t>Yes</t>
        </is>
      </c>
      <c r="H631">
        <f>+WEEKNUM(A631)</f>
        <v/>
      </c>
      <c r="I631">
        <f>+YEAR(A631)</f>
        <v/>
      </c>
    </row>
    <row r="632">
      <c r="A632" s="1" t="n">
        <v>44530</v>
      </c>
      <c r="B632" t="inlineStr">
        <is>
          <t>EdvRek</t>
        </is>
      </c>
      <c r="C632" t="inlineStr">
        <is>
          <t>Project management</t>
        </is>
      </c>
      <c r="D632" t="inlineStr">
        <is>
          <t>Support #39120: Susitikimai su EY, LTG, Vidiniai susitikimai</t>
        </is>
      </c>
      <c r="E632" t="inlineStr">
        <is>
          <t>KIWI ir EY meetas 2021-11-30</t>
        </is>
      </c>
      <c r="F632" t="n">
        <v>1</v>
      </c>
      <c r="G632" t="inlineStr">
        <is>
          <t>Yes</t>
        </is>
      </c>
      <c r="H632">
        <f>+WEEKNUM(A632)</f>
        <v/>
      </c>
      <c r="I632">
        <f>+YEAR(A632)</f>
        <v/>
      </c>
    </row>
    <row r="633">
      <c r="A633" s="1" t="n">
        <v>44530</v>
      </c>
      <c r="B633" t="inlineStr">
        <is>
          <t>UgnMar</t>
        </is>
      </c>
      <c r="C633" t="inlineStr">
        <is>
          <t>Project management</t>
        </is>
      </c>
      <c r="D633" t="inlineStr">
        <is>
          <t>Support #39120: Susitikimai su EY, LTG, Vidiniai susitikimai</t>
        </is>
      </c>
      <c r="E633" t="inlineStr">
        <is>
          <t>Susitikimas su KIWI, po to su EY</t>
        </is>
      </c>
      <c r="F633" t="n">
        <v>1</v>
      </c>
      <c r="G633" t="inlineStr">
        <is>
          <t>Yes</t>
        </is>
      </c>
      <c r="H633">
        <f>+WEEKNUM(A633)</f>
        <v/>
      </c>
      <c r="I633">
        <f>+YEAR(A633)</f>
        <v/>
      </c>
    </row>
    <row r="634">
      <c r="A634" s="1" t="n">
        <v>44526</v>
      </c>
      <c r="B634" t="inlineStr">
        <is>
          <t>EdvRek</t>
        </is>
      </c>
      <c r="C634" t="inlineStr">
        <is>
          <t>Project management</t>
        </is>
      </c>
      <c r="D634" t="inlineStr">
        <is>
          <t>Support #39120: Susitikimai su EY, LTG, Vidiniai susitikimai</t>
        </is>
      </c>
      <c r="E634" t="inlineStr">
        <is>
          <t>meetas su LTG ir vidinis 2021-11-16</t>
        </is>
      </c>
      <c r="F634" t="n">
        <v>0.75</v>
      </c>
      <c r="G634" t="inlineStr">
        <is>
          <t>Yes</t>
        </is>
      </c>
      <c r="H634">
        <f>+WEEKNUM(A634)</f>
        <v/>
      </c>
      <c r="I634">
        <f>+YEAR(A634)</f>
        <v/>
      </c>
    </row>
    <row r="635">
      <c r="A635" s="1" t="n">
        <v>44526</v>
      </c>
      <c r="B635" t="inlineStr">
        <is>
          <t>UgnMar</t>
        </is>
      </c>
      <c r="C635" t="inlineStr">
        <is>
          <t>Project management</t>
        </is>
      </c>
      <c r="D635" t="inlineStr">
        <is>
          <t>Support #39120: Susitikimai su EY, LTG, Vidiniai susitikimai</t>
        </is>
      </c>
      <c r="E635" t="inlineStr">
        <is>
          <t>Aptarimas su LTG, po to vidinis aptarimas</t>
        </is>
      </c>
      <c r="F635" t="n">
        <v>0.75</v>
      </c>
      <c r="G635" t="inlineStr">
        <is>
          <t>Yes</t>
        </is>
      </c>
      <c r="H635">
        <f>+WEEKNUM(A635)</f>
        <v/>
      </c>
      <c r="I635">
        <f>+YEAR(A635)</f>
        <v/>
      </c>
    </row>
    <row r="636">
      <c r="A636" s="1" t="n">
        <v>44525</v>
      </c>
      <c r="B636" t="inlineStr">
        <is>
          <t>EdvRek</t>
        </is>
      </c>
      <c r="C636" t="inlineStr">
        <is>
          <t>Project management</t>
        </is>
      </c>
      <c r="D636" t="inlineStr">
        <is>
          <t>Support #39120: Susitikimai su EY, LTG, Vidiniai susitikimai</t>
        </is>
      </c>
      <c r="E636" t="inlineStr">
        <is>
          <t>LTG meet shemos aptarimas 2021.11.25 + meet su komanda after</t>
        </is>
      </c>
      <c r="F636" t="n">
        <v>1.75</v>
      </c>
      <c r="G636" t="inlineStr">
        <is>
          <t>Yes</t>
        </is>
      </c>
      <c r="H636">
        <f>+WEEKNUM(A636)</f>
        <v/>
      </c>
      <c r="I636">
        <f>+YEAR(A636)</f>
        <v/>
      </c>
    </row>
    <row r="637">
      <c r="A637" s="1" t="n">
        <v>44525</v>
      </c>
      <c r="B637" t="inlineStr">
        <is>
          <t>UgnMar</t>
        </is>
      </c>
      <c r="C637" t="inlineStr">
        <is>
          <t>Project management</t>
        </is>
      </c>
      <c r="D637" t="inlineStr">
        <is>
          <t>Support #39120: Susitikimai su EY, LTG, Vidiniai susitikimai</t>
        </is>
      </c>
      <c r="E637" t="inlineStr">
        <is>
          <t>Aptarimas su LTG 11-25, toliau su vidinis komandos pasitarimas</t>
        </is>
      </c>
      <c r="F637" t="n">
        <v>1.75</v>
      </c>
      <c r="G637" t="inlineStr">
        <is>
          <t>Yes</t>
        </is>
      </c>
      <c r="H637">
        <f>+WEEKNUM(A637)</f>
        <v/>
      </c>
      <c r="I637">
        <f>+YEAR(A637)</f>
        <v/>
      </c>
    </row>
    <row r="638">
      <c r="A638" s="1" t="n">
        <v>44525</v>
      </c>
      <c r="B638" t="inlineStr">
        <is>
          <t>UgnMar</t>
        </is>
      </c>
      <c r="C638" t="inlineStr">
        <is>
          <t>Project management</t>
        </is>
      </c>
      <c r="D638" t="inlineStr">
        <is>
          <t>Support #39120: Susitikimai su EY, LTG, Vidiniai susitikimai</t>
        </is>
      </c>
      <c r="E638" t="inlineStr">
        <is>
          <t>Prisjungimų tikrinimas, info Rimai</t>
        </is>
      </c>
      <c r="F638" t="n">
        <v>0.25</v>
      </c>
      <c r="G638" t="inlineStr">
        <is>
          <t>Yes</t>
        </is>
      </c>
      <c r="H638">
        <f>+WEEKNUM(A638)</f>
        <v/>
      </c>
      <c r="I638">
        <f>+YEAR(A638)</f>
        <v/>
      </c>
    </row>
    <row r="639">
      <c r="A639" s="1" t="n">
        <v>44524</v>
      </c>
      <c r="B639" t="inlineStr">
        <is>
          <t>EdvRek</t>
        </is>
      </c>
      <c r="C639" t="inlineStr">
        <is>
          <t>Developer</t>
        </is>
      </c>
      <c r="D639" t="inlineStr">
        <is>
          <t>Support #39342: Programuotojo pasiruosimas/mokymasis</t>
        </is>
      </c>
      <c r="E639" t="inlineStr">
        <is>
          <t>issiaiskinimas galimu variantu aprasytu #3</t>
        </is>
      </c>
      <c r="F639" t="n">
        <v>4.5</v>
      </c>
      <c r="G639" t="inlineStr">
        <is>
          <t>Yes</t>
        </is>
      </c>
      <c r="H639">
        <f>+WEEKNUM(A639)</f>
        <v/>
      </c>
      <c r="I639">
        <f>+YEAR(A639)</f>
        <v/>
      </c>
    </row>
    <row r="640">
      <c r="A640" s="1" t="n">
        <v>44522</v>
      </c>
      <c r="B640" t="inlineStr">
        <is>
          <t>EdvRek</t>
        </is>
      </c>
      <c r="C640" t="inlineStr">
        <is>
          <t>Developer</t>
        </is>
      </c>
      <c r="D640" t="inlineStr">
        <is>
          <t>Support #39342: Programuotojo pasiruosimas/mokymasis</t>
        </is>
      </c>
      <c r="E640" t="inlineStr">
        <is>
          <t>research</t>
        </is>
      </c>
      <c r="F640" t="n">
        <v>5</v>
      </c>
      <c r="G640" t="inlineStr">
        <is>
          <t>Yes</t>
        </is>
      </c>
      <c r="H640">
        <f>+WEEKNUM(A640)</f>
        <v/>
      </c>
      <c r="I640">
        <f>+YEAR(A640)</f>
        <v/>
      </c>
    </row>
    <row r="641">
      <c r="A641" s="1" t="n">
        <v>44522</v>
      </c>
      <c r="B641" t="inlineStr">
        <is>
          <t>UgnMar</t>
        </is>
      </c>
      <c r="C641" t="inlineStr">
        <is>
          <t>Project management</t>
        </is>
      </c>
      <c r="D641" t="inlineStr">
        <is>
          <t>Support #39120: Susitikimai su EY, LTG, Vidiniai susitikimai</t>
        </is>
      </c>
      <c r="E641" t="inlineStr">
        <is>
          <t>Aptarimas su Rima dėl LTG susitikimo, papildomas aptarimas dienos eigoje</t>
        </is>
      </c>
      <c r="F641" t="n">
        <v>0.75</v>
      </c>
      <c r="G641" t="inlineStr">
        <is>
          <t>Yes</t>
        </is>
      </c>
      <c r="H641">
        <f>+WEEKNUM(A641)</f>
        <v/>
      </c>
      <c r="I641">
        <f>+YEAR(A641)</f>
        <v/>
      </c>
    </row>
    <row r="642">
      <c r="A642" s="1" t="n">
        <v>44518</v>
      </c>
      <c r="B642" t="inlineStr">
        <is>
          <t>UgnMar</t>
        </is>
      </c>
      <c r="C642" t="inlineStr">
        <is>
          <t>Project management</t>
        </is>
      </c>
      <c r="D642" t="inlineStr">
        <is>
          <t>Support #39120: Susitikimai su EY, LTG, Vidiniai susitikimai</t>
        </is>
      </c>
      <c r="E642" t="inlineStr">
        <is>
          <t>2021-11-18 aptarimas su LTG, klausimai ir aptarimas po to</t>
        </is>
      </c>
      <c r="F642" t="n">
        <v>1</v>
      </c>
      <c r="G642" t="inlineStr">
        <is>
          <t>Yes</t>
        </is>
      </c>
      <c r="H642">
        <f>+WEEKNUM(A642)</f>
        <v/>
      </c>
      <c r="I642">
        <f>+YEAR(A642)</f>
        <v/>
      </c>
    </row>
    <row r="643">
      <c r="A643" s="1" t="n">
        <v>44518</v>
      </c>
      <c r="B643" t="inlineStr">
        <is>
          <t>UgnMar</t>
        </is>
      </c>
      <c r="C643" t="inlineStr">
        <is>
          <t>Project management</t>
        </is>
      </c>
      <c r="D643" t="inlineStr">
        <is>
          <t>Support #39120: Susitikimai su EY, LTG, Vidiniai susitikimai</t>
        </is>
      </c>
      <c r="E643" t="inlineStr">
        <is>
          <t>Aptarimas su Jan/Rima</t>
        </is>
      </c>
      <c r="F643" t="n">
        <v>0.5</v>
      </c>
      <c r="G643" t="inlineStr">
        <is>
          <t>Yes</t>
        </is>
      </c>
      <c r="H643">
        <f>+WEEKNUM(A643)</f>
        <v/>
      </c>
      <c r="I643">
        <f>+YEAR(A643)</f>
        <v/>
      </c>
    </row>
    <row r="644">
      <c r="A644" s="1" t="n">
        <v>44511</v>
      </c>
      <c r="B644" t="inlineStr">
        <is>
          <t>EdvRek</t>
        </is>
      </c>
      <c r="C644" t="inlineStr">
        <is>
          <t>Project management</t>
        </is>
      </c>
      <c r="D644" t="inlineStr">
        <is>
          <t>Support #39120: Susitikimai su EY, LTG, Vidiniai susitikimai</t>
        </is>
      </c>
      <c r="E644" t="inlineStr">
        <is>
          <t>Meet su LTG ir EY 2021-11-11 + aptarimas su Rima</t>
        </is>
      </c>
      <c r="F644" t="n">
        <v>1.5</v>
      </c>
      <c r="G644" t="inlineStr">
        <is>
          <t>Yes</t>
        </is>
      </c>
      <c r="H644">
        <f>+WEEKNUM(A644)</f>
        <v/>
      </c>
      <c r="I644">
        <f>+YEAR(A644)</f>
        <v/>
      </c>
    </row>
    <row r="645">
      <c r="A645" s="1" t="n">
        <v>44511</v>
      </c>
      <c r="B645" t="inlineStr">
        <is>
          <t>UgnMar</t>
        </is>
      </c>
      <c r="C645" t="inlineStr">
        <is>
          <t>Project management</t>
        </is>
      </c>
      <c r="D645" t="inlineStr">
        <is>
          <t>Support #39120: Susitikimai su EY, LTG, Vidiniai susitikimai</t>
        </is>
      </c>
      <c r="E645" t="inlineStr">
        <is>
          <t>Meet su LTG ir EY 2021-11-11 + aptarimas su Rima</t>
        </is>
      </c>
      <c r="F645" t="n">
        <v>1.5</v>
      </c>
      <c r="G645" t="inlineStr">
        <is>
          <t>Yes</t>
        </is>
      </c>
      <c r="H645">
        <f>+WEEKNUM(A645)</f>
        <v/>
      </c>
      <c r="I645">
        <f>+YEAR(A645)</f>
        <v/>
      </c>
    </row>
    <row r="646">
      <c r="A646" s="1" t="n">
        <v>44510</v>
      </c>
      <c r="B646" t="inlineStr">
        <is>
          <t>EdvRek</t>
        </is>
      </c>
      <c r="C646" t="inlineStr">
        <is>
          <t>Developer</t>
        </is>
      </c>
      <c r="D646" t="inlineStr">
        <is>
          <t>Support #39121: Programavimas</t>
        </is>
      </c>
      <c r="E646" t="inlineStr">
        <is>
          <t>dokumentu analize, api nagrinejimas</t>
        </is>
      </c>
      <c r="F646" t="n">
        <v>3</v>
      </c>
      <c r="G646" t="inlineStr">
        <is>
          <t>Yes</t>
        </is>
      </c>
      <c r="H646">
        <f>+WEEKNUM(A646)</f>
        <v/>
      </c>
      <c r="I646">
        <f>+YEAR(A646)</f>
        <v/>
      </c>
    </row>
    <row r="647">
      <c r="A647" s="1" t="n">
        <v>44510</v>
      </c>
      <c r="B647" t="inlineStr">
        <is>
          <t>EdvRek</t>
        </is>
      </c>
      <c r="C647" t="inlineStr">
        <is>
          <t>Project management</t>
        </is>
      </c>
      <c r="D647" t="inlineStr">
        <is>
          <t>Support #39120: Susitikimai su EY, LTG, Vidiniai susitikimai</t>
        </is>
      </c>
      <c r="E647" t="inlineStr">
        <is>
          <t xml:space="preserve">meetas su Rima ir klausimu/specs aptarimas su Ugnium </t>
        </is>
      </c>
      <c r="F647" t="n">
        <v>1.5</v>
      </c>
      <c r="G647" t="inlineStr">
        <is>
          <t>Yes</t>
        </is>
      </c>
      <c r="H647">
        <f>+WEEKNUM(A647)</f>
        <v/>
      </c>
      <c r="I647">
        <f>+YEAR(A647)</f>
        <v/>
      </c>
    </row>
    <row r="648">
      <c r="A648" s="1" t="n">
        <v>44510</v>
      </c>
      <c r="B648" t="inlineStr">
        <is>
          <t>UgnMar</t>
        </is>
      </c>
      <c r="C648" t="inlineStr">
        <is>
          <t>Project management</t>
        </is>
      </c>
      <c r="D648" t="inlineStr">
        <is>
          <t>Support #39120: Susitikimai su EY, LTG, Vidiniai susitikimai</t>
        </is>
      </c>
      <c r="E648" t="inlineStr">
        <is>
          <t>Klausimai dėl programavimo, vakarinis aptarimas su Edvinu ir Rima</t>
        </is>
      </c>
      <c r="F648" t="n">
        <v>1.5</v>
      </c>
      <c r="G648" t="inlineStr">
        <is>
          <t>Yes</t>
        </is>
      </c>
      <c r="H648">
        <f>+WEEKNUM(A648)</f>
        <v/>
      </c>
      <c r="I648">
        <f>+YEAR(A648)</f>
        <v/>
      </c>
    </row>
    <row r="649">
      <c r="A649" s="1" t="n">
        <v>44509</v>
      </c>
      <c r="B649" t="inlineStr">
        <is>
          <t>EdvRek</t>
        </is>
      </c>
      <c r="C649" t="inlineStr">
        <is>
          <t>Project management</t>
        </is>
      </c>
      <c r="D649" t="inlineStr">
        <is>
          <t>Support #39120: Susitikimai su EY, LTG, Vidiniai susitikimai</t>
        </is>
      </c>
      <c r="E649" t="inlineStr">
        <is>
          <t>2021 11 09 vidinis meetas su Rima</t>
        </is>
      </c>
      <c r="F649" t="n">
        <v>0.5</v>
      </c>
      <c r="G649" t="inlineStr">
        <is>
          <t>Yes</t>
        </is>
      </c>
      <c r="H649">
        <f>+WEEKNUM(A649)</f>
        <v/>
      </c>
      <c r="I649">
        <f>+YEAR(A649)</f>
        <v/>
      </c>
    </row>
    <row r="650">
      <c r="A650" s="1" t="n">
        <v>44509</v>
      </c>
      <c r="B650" t="inlineStr">
        <is>
          <t>UgnMar</t>
        </is>
      </c>
      <c r="C650" t="inlineStr">
        <is>
          <t>Project management</t>
        </is>
      </c>
      <c r="D650" t="inlineStr">
        <is>
          <t>Support #39120: Susitikimai su EY, LTG, Vidiniai susitikimai</t>
        </is>
      </c>
      <c r="E650" t="inlineStr">
        <is>
          <t>2021 11 09 vidinis meetas su Rima</t>
        </is>
      </c>
      <c r="F650" t="n">
        <v>0.5</v>
      </c>
      <c r="G650" t="inlineStr">
        <is>
          <t>Yes</t>
        </is>
      </c>
      <c r="H650">
        <f>+WEEKNUM(A650)</f>
        <v/>
      </c>
      <c r="I650">
        <f>+YEAR(A650)</f>
        <v/>
      </c>
    </row>
    <row r="651">
      <c r="A651" s="1" t="n">
        <v>44426</v>
      </c>
      <c r="B651" t="inlineStr">
        <is>
          <t>UgnMar</t>
        </is>
      </c>
      <c r="C651" t="inlineStr">
        <is>
          <t>Project management</t>
        </is>
      </c>
      <c r="D651" t="inlineStr">
        <is>
          <t>Support #37922: Project management</t>
        </is>
      </c>
      <c r="E651" t="inlineStr">
        <is>
          <t>Visi aptarimai su Rima</t>
        </is>
      </c>
      <c r="F651" t="n">
        <v>0.5</v>
      </c>
      <c r="G651" t="inlineStr">
        <is>
          <t>Yes</t>
        </is>
      </c>
      <c r="H651">
        <f>+WEEKNUM(A651)</f>
        <v/>
      </c>
      <c r="I651">
        <f>+YEAR(A651)</f>
        <v/>
      </c>
    </row>
    <row r="652">
      <c r="A652" s="1" t="n">
        <v>44144</v>
      </c>
      <c r="B652" t="inlineStr">
        <is>
          <t>EdgMur</t>
        </is>
      </c>
      <c r="C652" t="inlineStr">
        <is>
          <t>Developer</t>
        </is>
      </c>
      <c r="D652" t="inlineStr">
        <is>
          <t>Support #31759: LG CRM konkursas: reikalavimai</t>
        </is>
      </c>
      <c r="E652" t="inlineStr">
        <is>
          <t>prezentacija</t>
        </is>
      </c>
      <c r="F652" t="n">
        <v>1</v>
      </c>
      <c r="G652" t="inlineStr">
        <is>
          <t>Yes</t>
        </is>
      </c>
      <c r="H652">
        <f>+WEEKNUM(A652)</f>
        <v/>
      </c>
      <c r="I652">
        <f>+YEAR(A652)</f>
        <v/>
      </c>
    </row>
    <row r="653">
      <c r="A653" s="1" t="n">
        <v>44141</v>
      </c>
      <c r="B653" t="inlineStr">
        <is>
          <t>EdgMur</t>
        </is>
      </c>
      <c r="C653" t="inlineStr">
        <is>
          <t>Developer</t>
        </is>
      </c>
      <c r="D653" t="inlineStr">
        <is>
          <t>Support #31759: LG CRM konkursas: reikalavimai</t>
        </is>
      </c>
      <c r="E653" t="inlineStr">
        <is>
          <t>dual-write testavimas</t>
        </is>
      </c>
      <c r="F653" t="n">
        <v>1</v>
      </c>
      <c r="G653" t="inlineStr">
        <is>
          <t>Yes</t>
        </is>
      </c>
      <c r="H653">
        <f>+WEEKNUM(A653)</f>
        <v/>
      </c>
      <c r="I653">
        <f>+YEAR(A653)</f>
        <v/>
      </c>
    </row>
    <row r="654">
      <c r="A654" s="1" t="n">
        <v>44141</v>
      </c>
      <c r="B654" t="inlineStr">
        <is>
          <t>EdgMur</t>
        </is>
      </c>
      <c r="C654" t="inlineStr">
        <is>
          <t>Developer</t>
        </is>
      </c>
      <c r="D654" t="inlineStr">
        <is>
          <t>Support #31759: LG CRM konkursas: reikalavimai</t>
        </is>
      </c>
      <c r="E654" t="inlineStr">
        <is>
          <t>aptarimas su Janu</t>
        </is>
      </c>
      <c r="F654" t="n">
        <v>0.5</v>
      </c>
      <c r="G654" t="inlineStr">
        <is>
          <t>Yes</t>
        </is>
      </c>
      <c r="H654">
        <f>+WEEKNUM(A654)</f>
        <v/>
      </c>
      <c r="I654">
        <f>+YEAR(A654)</f>
        <v/>
      </c>
    </row>
    <row r="655">
      <c r="A655" s="1" t="n">
        <v>44140</v>
      </c>
      <c r="B655" t="inlineStr">
        <is>
          <t>EdgMur</t>
        </is>
      </c>
      <c r="C655" t="inlineStr">
        <is>
          <t>Developer</t>
        </is>
      </c>
      <c r="D655" t="inlineStr">
        <is>
          <t>Support #31759: LG CRM konkursas: reikalavimai</t>
        </is>
      </c>
      <c r="E655" t="inlineStr">
        <is>
          <t>dual-write prezentacijos ruošimas</t>
        </is>
      </c>
      <c r="F655" t="n">
        <v>1</v>
      </c>
      <c r="G655" t="inlineStr">
        <is>
          <t>Yes</t>
        </is>
      </c>
      <c r="H655">
        <f>+WEEKNUM(A655)</f>
        <v/>
      </c>
      <c r="I655">
        <f>+YEAR(A655)</f>
        <v/>
      </c>
    </row>
    <row r="656">
      <c r="A656" s="1" t="n">
        <v>44140</v>
      </c>
      <c r="B656" t="inlineStr">
        <is>
          <t>EdgMur</t>
        </is>
      </c>
      <c r="C656" t="inlineStr">
        <is>
          <t>Developer</t>
        </is>
      </c>
      <c r="D656" t="inlineStr">
        <is>
          <t>Support #31759: LG CRM konkursas: reikalavimai</t>
        </is>
      </c>
      <c r="E656" t="inlineStr">
        <is>
          <t>įjungimas dual-write</t>
        </is>
      </c>
      <c r="F656" t="n">
        <v>1.5</v>
      </c>
      <c r="G656" t="inlineStr">
        <is>
          <t>Yes</t>
        </is>
      </c>
      <c r="H656">
        <f>+WEEKNUM(A656)</f>
        <v/>
      </c>
      <c r="I656">
        <f>+YEAR(A656)</f>
        <v/>
      </c>
    </row>
    <row r="657">
      <c r="A657" s="1" t="n">
        <v>44139</v>
      </c>
      <c r="B657" t="inlineStr">
        <is>
          <t>EdgMur</t>
        </is>
      </c>
      <c r="C657" t="inlineStr">
        <is>
          <t>Developer</t>
        </is>
      </c>
      <c r="D657" t="inlineStr">
        <is>
          <t>Support #31759: LG CRM konkursas: reikalavimai</t>
        </is>
      </c>
      <c r="E657" t="inlineStr">
        <is>
          <t>aptarimas su Janu</t>
        </is>
      </c>
      <c r="F657" t="n">
        <v>0.5</v>
      </c>
      <c r="G657" t="inlineStr">
        <is>
          <t>Yes</t>
        </is>
      </c>
      <c r="H657">
        <f>+WEEKNUM(A657)</f>
        <v/>
      </c>
      <c r="I657">
        <f>+YEAR(A657)</f>
        <v/>
      </c>
    </row>
    <row r="658">
      <c r="A658" s="1" t="n">
        <v>43994</v>
      </c>
      <c r="B658" t="inlineStr">
        <is>
          <t>SarGru</t>
        </is>
      </c>
      <c r="C658" t="inlineStr">
        <is>
          <t>Developer</t>
        </is>
      </c>
      <c r="D658" t="inlineStr">
        <is>
          <t>Support #31852: LIETUVOS GELEŽINKELIAI: integracijų vertinimas</t>
        </is>
      </c>
      <c r="E658" t="inlineStr">
        <is>
          <t>Estimations/Meetings</t>
        </is>
      </c>
      <c r="F658" t="n">
        <v>2</v>
      </c>
      <c r="G658" t="inlineStr">
        <is>
          <t>Yes</t>
        </is>
      </c>
      <c r="H658">
        <f>+WEEKNUM(A658)</f>
        <v/>
      </c>
      <c r="I658">
        <f>+YEAR(A658)</f>
        <v/>
      </c>
    </row>
    <row r="659">
      <c r="A659" s="1" t="n">
        <v>43994</v>
      </c>
      <c r="B659" t="inlineStr">
        <is>
          <t>UgnMar</t>
        </is>
      </c>
      <c r="C659" t="inlineStr">
        <is>
          <t>Consultant</t>
        </is>
      </c>
      <c r="D659" t="inlineStr">
        <is>
          <t>Support #31759: LG CRM konkursas: reikalavimai</t>
        </is>
      </c>
      <c r="E659" t="inlineStr">
        <is>
          <t>Komandos meet</t>
        </is>
      </c>
      <c r="F659" t="n">
        <v>1</v>
      </c>
      <c r="G659" t="inlineStr">
        <is>
          <t>No</t>
        </is>
      </c>
      <c r="H659">
        <f>+WEEKNUM(A659)</f>
        <v/>
      </c>
      <c r="I659">
        <f>+YEAR(A659)</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40"/>
  <sheetViews>
    <sheetView topLeftCell="O1" workbookViewId="0">
      <selection activeCell="Q30" sqref="Q30"/>
    </sheetView>
  </sheetViews>
  <sheetFormatPr baseColWidth="8" defaultRowHeight="15"/>
  <cols>
    <col width="13.7109375" bestFit="1" customWidth="1" style="17" min="1" max="1"/>
    <col width="21" bestFit="1" customWidth="1" style="17" min="2" max="2"/>
    <col width="24.42578125" bestFit="1" customWidth="1" style="17" min="3" max="3"/>
    <col width="20.85546875" bestFit="1" customWidth="1" style="17" min="4" max="4"/>
    <col width="24.28515625" bestFit="1" customWidth="1" style="17" min="5" max="5"/>
    <col width="20.140625" bestFit="1" customWidth="1" style="17" min="6" max="6"/>
    <col width="23.42578125" bestFit="1" customWidth="1" style="17" min="7" max="7"/>
    <col width="27" bestFit="1" customWidth="1" style="17" min="8" max="8"/>
    <col width="21.140625" bestFit="1" customWidth="1" style="17" min="9" max="9"/>
    <col width="24.5703125" bestFit="1" customWidth="1" style="17" min="10" max="10"/>
    <col width="20.42578125" bestFit="1" customWidth="1" style="17" min="11" max="11"/>
    <col width="23.85546875" bestFit="1" customWidth="1" style="17" min="12" max="12"/>
    <col width="25.42578125" bestFit="1" customWidth="1" style="17" min="13" max="13"/>
    <col width="28.85546875" bestFit="1" customWidth="1" style="17" min="14" max="14"/>
    <col width="20.42578125" bestFit="1" customWidth="1" style="17" min="15" max="15"/>
    <col width="81.140625" bestFit="1" customWidth="1" style="17" min="16" max="17"/>
    <col width="21.28515625" bestFit="1" customWidth="1" style="17" min="18" max="18"/>
    <col width="20.5703125" bestFit="1" customWidth="1" style="17" min="19" max="19"/>
    <col width="21.85546875" bestFit="1" customWidth="1" style="17" min="20" max="20"/>
    <col width="21" bestFit="1" customWidth="1" style="17" min="21" max="21"/>
    <col width="27.5703125" bestFit="1" customWidth="1" style="17" min="22" max="22"/>
    <col width="32.85546875" bestFit="1" customWidth="1" style="17" min="23" max="23"/>
    <col width="23.42578125" bestFit="1" customWidth="1" style="17" min="24" max="24"/>
    <col width="28.7109375" bestFit="1" customWidth="1" style="17" min="25" max="25"/>
    <col width="25.140625" bestFit="1" customWidth="1" style="17" min="26" max="26"/>
    <col width="22.28515625" bestFit="1" customWidth="1" style="17" min="27" max="27"/>
    <col width="21.42578125" bestFit="1" customWidth="1" style="17" min="28" max="28"/>
    <col width="34.42578125" bestFit="1" customWidth="1" style="17" min="29" max="29"/>
    <col width="13.140625" bestFit="1" customWidth="1" style="17" min="30" max="30"/>
    <col width="5.85546875" bestFit="1" customWidth="1" style="17" min="31" max="31"/>
    <col width="12" bestFit="1" customWidth="1" style="17" min="32" max="32"/>
  </cols>
  <sheetData>
    <row r="1">
      <c r="A1" t="inlineStr">
        <is>
          <t>Column1.id</t>
        </is>
      </c>
      <c r="B1" t="inlineStr">
        <is>
          <t>Column1.project.id</t>
        </is>
      </c>
      <c r="C1" t="inlineStr">
        <is>
          <t>Column1.project.name</t>
        </is>
      </c>
      <c r="D1" t="inlineStr">
        <is>
          <t>Column1.tracker.id</t>
        </is>
      </c>
      <c r="E1" t="inlineStr">
        <is>
          <t>Column1.tracker.name</t>
        </is>
      </c>
      <c r="F1" t="inlineStr">
        <is>
          <t>Column1.status.id</t>
        </is>
      </c>
      <c r="G1" t="inlineStr">
        <is>
          <t>Column1.status.name</t>
        </is>
      </c>
      <c r="H1" t="inlineStr">
        <is>
          <t>Column1.status.is_closed</t>
        </is>
      </c>
      <c r="I1" t="inlineStr">
        <is>
          <t>Column1.priority.id</t>
        </is>
      </c>
      <c r="J1" t="inlineStr">
        <is>
          <t>Column1.priority.name</t>
        </is>
      </c>
      <c r="K1" t="inlineStr">
        <is>
          <t>Column1.author.id</t>
        </is>
      </c>
      <c r="L1" t="inlineStr">
        <is>
          <t>Column1.author.name</t>
        </is>
      </c>
      <c r="M1" t="inlineStr">
        <is>
          <t>Column1.assigned_to.id</t>
        </is>
      </c>
      <c r="N1" t="inlineStr">
        <is>
          <t>Column1.assigned_to.name</t>
        </is>
      </c>
      <c r="O1" t="inlineStr">
        <is>
          <t>Column1.parent.id</t>
        </is>
      </c>
      <c r="P1" t="inlineStr">
        <is>
          <t>Column1.subject</t>
        </is>
      </c>
      <c r="Q1" t="inlineStr">
        <is>
          <t>Column1.description</t>
        </is>
      </c>
      <c r="R1" t="inlineStr">
        <is>
          <t>Column1.start_date</t>
        </is>
      </c>
      <c r="S1" t="inlineStr">
        <is>
          <t>Column1.due_date</t>
        </is>
      </c>
      <c r="T1" t="inlineStr">
        <is>
          <t>Column1.done_ratio</t>
        </is>
      </c>
      <c r="U1" t="inlineStr">
        <is>
          <t>Column1.is_private</t>
        </is>
      </c>
      <c r="V1" t="inlineStr">
        <is>
          <t>Column1.estimated_hours</t>
        </is>
      </c>
      <c r="W1" t="inlineStr">
        <is>
          <t>Column1.total_estimated_hours</t>
        </is>
      </c>
      <c r="X1" t="inlineStr">
        <is>
          <t>Column1.spent_hours</t>
        </is>
      </c>
      <c r="Y1" t="inlineStr">
        <is>
          <t>Column1.total_spent_hours</t>
        </is>
      </c>
      <c r="Z1" t="inlineStr">
        <is>
          <t>Column1.custom_fields</t>
        </is>
      </c>
      <c r="AA1" t="inlineStr">
        <is>
          <t>Column1.created_on</t>
        </is>
      </c>
      <c r="AB1" t="inlineStr">
        <is>
          <t>Column1.closed_on</t>
        </is>
      </c>
      <c r="AC1" t="inlineStr">
        <is>
          <t>issues_custom_fields.Column1.id</t>
        </is>
      </c>
      <c r="AD1" t="inlineStr">
        <is>
          <t>SPRINT</t>
        </is>
      </c>
      <c r="AE1" t="inlineStr">
        <is>
          <t>DE</t>
        </is>
      </c>
      <c r="AF1" t="inlineStr">
        <is>
          <t>BE</t>
        </is>
      </c>
    </row>
    <row r="2">
      <c r="A2" t="n">
        <v>99745</v>
      </c>
      <c r="B2" t="n">
        <v>512</v>
      </c>
      <c r="C2" t="inlineStr">
        <is>
          <t>LG-D365 CRM Project</t>
        </is>
      </c>
      <c r="D2" t="n">
        <v>2</v>
      </c>
      <c r="E2" t="inlineStr">
        <is>
          <t>Feature</t>
        </is>
      </c>
      <c r="F2" t="n">
        <v>2</v>
      </c>
      <c r="G2" t="inlineStr">
        <is>
          <t>In Progress</t>
        </is>
      </c>
      <c r="H2" t="b">
        <v>0</v>
      </c>
      <c r="I2" t="n">
        <v>4</v>
      </c>
      <c r="J2" t="inlineStr">
        <is>
          <t>Normal</t>
        </is>
      </c>
      <c r="K2" t="n">
        <v>875</v>
      </c>
      <c r="L2" t="inlineStr">
        <is>
          <t>VilMat</t>
        </is>
      </c>
      <c r="M2" t="n">
        <v>821</v>
      </c>
      <c r="N2" t="inlineStr">
        <is>
          <t>GabKoj</t>
        </is>
      </c>
      <c r="O2" t="n">
        <v>96214</v>
      </c>
      <c r="P2" t="inlineStr">
        <is>
          <t>FR3-SPRINT_1-017 - Queue/Queue Items &gt; Convert To Case - Account suradimas ir užpildymas į lookup laukelį</t>
        </is>
      </c>
      <c r="Q2" t="inlineStr">
        <is>
          <t>h1. Poreikis:_x000D_
_x000D_
Sistema turi automatiškai atpažinti įeinančius laiškus pagal domeną (….@domenas.lt) ir parinkti Klientą jei toks yra sistemoje pagal jį, kuriant kitus objektus._x000D_
Bendrinės pašto dėžutės pagal numatytas komandas gauna kliento laiškus į CRM eiles. Laišką konvertuoja į užklausą. Konvertuojant į užklausą reikia rankiniu būdu pasirinkti Klientą. Reikia, kad būtų:_x000D_
1. Jeigu klientas suvestas į CRM pagal domeną įvestų klientą automatiškai.  _x000D_
2. Jeigu nėra įvesta kliento CRM palikti kaip yra dabar t.y. pasirinkimas iš sąrašo._x000D_
3. Turėtų būti galimybė klientą pakeisti ran*kiniu būdu._x000D_
4. Pasirinkimui duotų tik įrašus iš objekto Klientai (neduotų sąrašo iš objekto Kontaktai)._x000D_
Tas pats turėtų būti konvertuojant į galimybes._x000D_
Dedikuoti asmenys dirba per įskiepį (nukreipia laiškus į CRM, tas pats turėtų galioti kuriant užklausą/galimybę per outlook įskiepį._x000D_
_x000D_
_x000D_
h1. Patvirtintas poreikis:_x000D_
_x000D_
Konvertuojant laišką į užklausą:_x000D_
* Kliento ieško iš aktyvių/įjungtų klientų įrašų. (Account Active/ inactive)_x000D_
* Jeigu klientą randa pagal "nuo" adresato domeną automatšikai užpildo kliento laukelį._x000D_
* Jeigu neranda lieka tuščia vieta, pateikiamas sąrašas._x000D_
* Rankiniu būdu yra galimybė pakeisti klientą._x000D_
* Pasirinkimui duotų tik įrašus iš objekto Klientai (neduotųi sąrašo iš objekto Kontaktai)._x000D_
* Jeigu randamas daugiau nei vienas Klientasi su identišku el. paštu tuomet nepildyti kliento laukelio (Convert to case paspaudimo metu)_x000D_
_x000D_
h1. Atliekamos modifikacijos:_x000D_
_x000D_
*&lt;pre&gt;_x000D_
Modifikacijų sprendinio šaltinis: LTG_CRM - #96210 FR3-SPRINT1 System Customizations_x000D_
&lt;/pre&gt;*_x000D_
_x000D_
*Modifikacijų atlikimo vieta sistemoje:*_x000D_
* Emails_x000D_
* 'Convert To Case' funkcijos langas_x000D_
_x000D_
______x000D_
_x000D_
*Modifikacijos tęstinės - Pirma dalis žemiau*_x000D_
*Antra dalis: #99744*_x000D_
_x000D_
______x000D_
_x000D_
*'Convert To Case' funkcijos langas:*_x000D_
* Esamas laukas 'Customer' pervadinamas į 'Account'(LT: Klientas)_x000D_
* Esamo lauko filtras nustatomas atvaizduoti tik 'Active' statuso 'Account' įrašus_x000D_
_x000D_
*Veikimo eiga (Convert to Case lange):*_x000D_
* Vartotojui paspaudus 'Convert to Case' el. laiško įraše, sistema atidaro konvertavimo langą._x000D_
* Užkrovimo metu (on load event) sistema inicijuoja tikrinimą pagal el. laiško 'From' laukelio el. pašto adresą._x000D_
* Sistema tikrina:_x000D_
** Ar 'Email.From' atitinka kokį nors 'Account.EmailAddress1' lauką CRM sistemoje._x000D_
** Filtruojami tik 'Active' Account įrašai (statecode = Active)._x000D_
* Jei randa tik vieną atitinkantį aktyvų Account:_x000D_
** Automatiškai užpildo 'Account' lauką 'Convert to Case' lange._x000D_
* Jei randa kelis Account įrašus su tuo pačiu el. paštu:_x000D_
** Neužpildo 'Account' lauko – paliekamas tuščias, vartotojas pasirenka rankiniu būdu._x000D_
* Jei neranda jokio 'Account' su tokiu el. paštu:_x000D_
** 'Account' laukas lieka tuščias._x000D_
* Jei el. pašto adresas priklauso tik 'Contact' įrašui:_x000D_
** Sistema nepildo 'Account' lauko (Contact entitetas neįtraukiamas į paiešką)._x000D_
* Vartotojas visada gali rankiniu būdu pasirinkti kitą 'Account' iš sąrašo, tačiau:_x000D_
** Sąrašas turi rodyti tik 'Account' tipo įrašus (ne Kontaktus)._x000D_
_x000D_
*Taisyklės:*_x000D_
_x000D_
| # | Sąlyga                                              | Veiksmas                               | Rezultatas                       |_x000D_
| - | --------------------------------------------------- | -------------------------------------- | -------------------------------- |_x000D_
| 1 | Vienas aktyvus Account su sutampančiu EmailAddress1 | Užpildyti Account lauką lange          | Account užpildytas automatiškai  |_x000D_
| 2 | Keli aktyvūs Account su tuo pačiu el. paštu         | Neužpildyti Account lauko              | Paliekamas tuščias               |_x000D_
| 3 | Nerasta atitiktis jokiam Account                    | Neužpildyti Account lauko              | Paliekamas tuščias               |_x000D_
| 4 | El. paštas priklauso Contact įrašui                 | Nepildyti Account lauko                | Paliekamas tuščias               |_x000D_
| 5 | Vartotojas pakeičia Account rankiniu būdu           | Leisti pasirinkti tik iš Account įrašų | Užtikrinta duomenų konsistencija |_x000D_
_x000D_
*Techninė (DEV) logika:*_x000D_
* Veikimas inicijuojamas Convert to Case dialogo užkrovimo metu (on load event)._x000D_
* Įgyvendinimo būdai:_x000D_
** (DEV) JavaScript (form script) arba plugin (pre-conversion event handler)._x000D_
* Logikos eiga:_x000D_
** Gauti Email.From reikšmę (siuntėjo adresą)._x000D_
** Užklausa į Account modulį:_x000D_
** Filtras:_x000D_
*** EmailAddress1 = Email.From_x000D_
*** StateCode = Active_x000D_
** Jei rezultatų = 1 → nustatyti Account lookup lauką su rasto įrašo ID ir pavadinimu._x000D_
** Jei rezultatų &gt;1 arba =0 → palikti lauką tuščią._x000D_
* Lookup filtre leidžiama rinktis tik Account tipo įrašus (entityfilter: account)._x000D_
_x000D_
*Testavimo scenarijai:*_x000D_
_x000D_
| # | Testavimo Scenarijus                         | Reikšmė/Sąlyga                                                | Planuojamas rezultatas                                       |_x000D_
| - | ------------------------------------------- | ---------------------------------------------------------------- | ----------------------------------------------------- |_x000D_
| 1 | Vienas aktyvus Account su tokiu el. paštu   | Email.From = [client@company.com](mailto:client@company.com)     | Convert to Case lange Account automatiškai užpildytas |_x000D_
| 2 | Keli aktyvūs Account su tuo pačiu el. paštu | Email.From = [duplicate@domain.com](mailto:duplicate@domain.com) | Account laukas lieka tuščias                          |_x000D_
| 3 | Account įrašas neaktyvus                    | Email.From = [old@inactive.com](mailto:old@inactive.com)         | Account laukas lieka tuščias                          |_x000D_
| 4 | El. paštas priklauso Contact įrašui         | Email.From = [person@contact.com](mailto:person@contact.com)     | Account laukas lieka tuščias                          |_x000D_
| 5 | El. paštas neatpažintas sistemoje           | Email.From = [unknown@domain.com](mailto:unknown@domain.com)     | Account laukas lieka tuščias                          |_x000D_
| 6 | Vartotojas pasirenka Account rankiniu būdu  | Vartotojas pasirenka iš sąrašo                                   | Leidžiama rinktis tik Account įrašus                  |_x000D_
_x000D_
Ši funkcija automatizuoja Account lauko užpildymą Convert to Case lange, dar prieš Case sukūrimą._x000D_
Sistema automatiškai ieško aktyvaus Account pagal el. laiško siuntėjo adresą ir užpildo lauką, jei randa vienintelį atitikmenį._x000D_
Tokiu būdu sumažinamas rankinis darbas, išvengiama neteisingų priskyrimų ir užtikrinamas tikslesnis Case susiejimas su atitinkamu klientu.</t>
        </is>
      </c>
      <c r="R2" s="1" t="n">
        <v>45918</v>
      </c>
      <c r="S2" s="1" t="n">
        <v>45968</v>
      </c>
      <c r="T2" t="n">
        <v>0</v>
      </c>
      <c r="U2" t="b">
        <v>0</v>
      </c>
      <c r="V2" t="n">
        <v>10</v>
      </c>
      <c r="W2" t="n">
        <v>10</v>
      </c>
      <c r="X2" t="n">
        <v>1.25</v>
      </c>
      <c r="Y2" t="n">
        <v>1.25</v>
      </c>
      <c r="Z2" t="inlineStr">
        <is>
          <t>[List]</t>
        </is>
      </c>
      <c r="AA2" t="inlineStr">
        <is>
          <t>2025-10-16T16:31:05Z</t>
        </is>
      </c>
      <c r="AC2" t="n">
        <v>99745</v>
      </c>
      <c r="AD2" t="inlineStr">
        <is>
          <t>FR3-SPRINT_1</t>
        </is>
      </c>
      <c r="AE2">
        <f>Merge1[[#This Row],[Column1.estimated_hours]] * ( Merge1[[#This Row],[Column1.done_ratio]] / 100 )</f>
        <v/>
      </c>
      <c r="AF2" s="11">
        <f>IF(Merge1[[#This Row],[Column1.spent_hours]]&gt;0, Merge1[[#This Row],[DE]]/Merge1[[#This Row],[Column1.spent_hours]], 0)</f>
        <v/>
      </c>
    </row>
    <row r="3">
      <c r="A3" t="n">
        <v>99744</v>
      </c>
      <c r="B3" t="n">
        <v>512</v>
      </c>
      <c r="C3" t="inlineStr">
        <is>
          <t>LG-D365 CRM Project</t>
        </is>
      </c>
      <c r="D3" t="n">
        <v>2</v>
      </c>
      <c r="E3" t="inlineStr">
        <is>
          <t>Feature</t>
        </is>
      </c>
      <c r="F3" t="n">
        <v>1</v>
      </c>
      <c r="G3" t="inlineStr">
        <is>
          <t>New</t>
        </is>
      </c>
      <c r="H3" t="b">
        <v>0</v>
      </c>
      <c r="I3" t="n">
        <v>4</v>
      </c>
      <c r="J3" t="inlineStr">
        <is>
          <t>Normal</t>
        </is>
      </c>
      <c r="K3" t="n">
        <v>875</v>
      </c>
      <c r="L3" t="inlineStr">
        <is>
          <t>VilMat</t>
        </is>
      </c>
      <c r="M3" t="n">
        <v>821</v>
      </c>
      <c r="N3" t="inlineStr">
        <is>
          <t>GabKoj</t>
        </is>
      </c>
      <c r="O3" t="n">
        <v>96214</v>
      </c>
      <c r="P3" t="inlineStr">
        <is>
          <t>FR3-SPRINT_1-016 - Queue/Queue Items &gt; Convert To Case - Kontakto pagal klientą užpildymas ir pernešimas į sukuriamą užklausos įrašą</t>
        </is>
      </c>
      <c r="Q3" t="inlineStr">
        <is>
          <t>h1. Poreikis:_x000D_
_x000D_
Kovertuojant laišką į užklausą Papildomai užklausoje rankiniu būdu reikia įvesti klientą / kontaktą iš kurio gautas el. laiškas. _x000D_
Komentaras 1. čia turėta mintyje, kad kai klientas rašo laišką, pagal jo el. paštą automatiškai užklausoje įkristų, kaip Kontaktas ir nereikėtų rankiniu būdu suvedinėti. Pridėtas pav., kur nurodyta, kur turėtų atsirasti įrašas._x000D_
_x000D_
Tiekėjo siūlomas išpildymas:_x000D_
* Papildomas konvertavimo langas kontakto laukeliu._x000D_
* Laukelis automatiškai užpildomas jeigu laiško siuntėjas sistemoje yra sukurtas kaip 'kontaktas'._x000D_
* Atlikus konversiją užklausoje parinktasis kontaktas įdedamas į 'kontaktas' laukelį_x000D_
_x000D_
h1. Patvirtintas poreikis:_x000D_
_x000D_
Kontaktą fiksuotų tik konvertavimo metu, tolimesnių susirašinėjimų kontaktų nefiksuoti:_x000D_
Konvertuojant laišką sistema automatiškai parenka Klientą pagal domeną._x000D_
Iš Kliento esamo kontaktų sąrašo parenka konkretų kontaktą._x000D_
Jeigu suvesto kontakto nėra, palieka tuščią vietą._x000D_
Jeigu kontaktuose yra daugiau nei vienas kontaktas su tuo pačiu el. paštu, palieka tuščią vietą_x000D_
Jeigu Klientas parinktas rankiniu būdu, užėjus į kontakto lauką, paspaudus enter rodytų tos įmonės kontaktus._x000D_
_x000D_
h1. Atliekamos modifikacijos:_x000D_
_x000D_
*&lt;pre&gt;_x000D_
Modifikacijų sprendinio šaltinis: LTG_CRM - #96210 FR3-SPRINT1 System Customizations_x000D_
&lt;/pre&gt;*_x000D_
_x000D_
*Modifikacijų atlikimo vieta sistemoje:*_x000D_
* Emails_x000D_
* 'Convert To Case' funkcijos langas_x000D_
_x000D_
______x000D_
_x000D_
*Modifikacijos tęstinės - Antra dalis žemiau*_x000D_
*Pirma dalis: #99745*_x000D_
_x000D_
______x000D_
_x000D_
*Tikslas:*_x000D_
Užtikrinti, kad 'Convert to Case' lange automatiškai būtų užpildomas 'Contact' (Kontaktas) laukas tik tuo atveju, jei el. laiško siuntėjo adresas atitinka vieną iš kontakto įrašų, susietų su parinktu 'Account' (Klientu)._x000D_
Tikslas – užtikrinti, kad konvertuojant el. laišką į užklausą kontaktas būtų priskiriamas tik prie teisingo kliento ir išvengti neteisingų susiejimų._x000D_
_x000D_
*Bendroji logika:*_x000D_
* Funkcija vykdoma tik „Convert to Case“ lange, dar prieš 'Case' įrašo sukūrimą._x000D_
* Pirmiausia nustatomas ir užpildomas 'Account' (Klientas) pagal atskirą taisyklę (pirmoji funkcijos dalis)._x000D_
* Tik po to vykdoma 'Contact' (Kontaktas) parinkimo logika, susieta su tuo pačiu 'Account'._x000D_
* Kontaktas priskiriamas tik tuo atveju, jei jis priklauso jau nustatytam 'Account' ir sutampa jo el. pašto adresas su el. laiško „From“ laukelio adresu._x000D_
* Jei 'Account' laukas nebuvo automatiškai užpildytas, kontaktas nenustatomas ir neužpildomas, net jei sistemoje yra atitikmuo._x000D_
* 'Contact' lookup tipo lange rodomi tik tie kontaktai, kurie priklauso pasirinktai įmonei (Account)._x000D_
_x000D_
*Verslo taisyklės:*_x000D_
_x000D_
| # | Sąlyga                                                                       | Veiksmas                                                                                  | Rezultatas                                                  |_x000D_
| - | ---------------------------------------------------------------------------- | ----------------------------------------------------------------------------------------- | ----------------------------------------------------------- |_x000D_
| 1 | Account automatiškai nustatytas pagal el. paštą                       | Ieškoti kontakto, kuris priklauso šiam Account ir turi tą patį el. paštą kaip laiško From | Jei randamas, Contact užpildomas automatiškai               |_x000D_
| 2 | Nerandamas kontaktas tarp to Account kontaktų                                | Nepildyti Contact lauko                                                                   | Kontaktas lieka tuščias                                     |_x000D_
| 3 | Daugiau nei vienas kontaktas su tuo pačiu el. paštu tarp to Account kontaktų | Nepildyti Contact lauko                                                                   | Paliekamas tuščias                                          |_x000D_
| 4 | Account laukas konvertavimo lange **tuščias**                                | Nevykdyti kontakto paieškos                                                               | Contact laukas nebus automatiškai užpildytas                |_x000D_
| 5 | Rankiniu būdu parinktas Account konvertavimo lange                           | Filtruoti Contact lookup sąrašą pagal pasirinktą Account                                  | Rodyti tik susietus su tuo Account kontaktus                |_x000D_
| 6 | Vartotojas rankiniu būdu pasirenka kitą kontaktą                             | Leisti pasirinkti tik iš susietų su tuo Account kontaktų                                  | Užtikrintas duomenų vientisumas                             |_x000D_
| 7 | Paspaudus „OK“ (Convert to Case)                                             | Į Case perkelti pasirinktus Account ir Contact įrašus                                     | `customerid` ir `primarycontactid` užpildomi sukurtame Case |_x000D_
_x000D_
*(DEV)Techninė logika:*_x000D_
* Sukuriamas naujas/panaudojamas esamas laukas 'Contact'(LT: Kontaktas) ir pridedamas į 'Convert To Case' langą._x000D_
* (DEV) JavaScript skriptas pridedamas prie 'Convert to Case' dialogo formos._x000D_
* Vykdymo eiga:_x000D_
** Patikrinama, ar 'Account' laukas konvertavimo lange turi reikšmę._x000D_
*** Jei tuščias, skriptas neatlieka kontakto paieškos._x000D_
** Jei 'Account' nustatytas:_x000D_
*** Nuskaitomas Email.From lauko adresas._x000D_
*** Užklausa į Contact modulį su filtrais:_x000D_
**** ParentCustomerId = Pasirinktas Account_x000D_
**** EmailAddress1 = Email.From_x000D_
*** Jei randamas 1 rezultatas → užpildomas Contact laukas._x000D_
*** Jei rezultatų nėra arba daugiau nei vienas → Contact laukas lieka tuščias._x000D_
** Kontaktų lookup lauke nustatomas custom filter:_x000D_
*** ParentCustomerId = Pasirinktas Account._x000D_
*** Filtras atsinaujina pasikeitus Account laukui._x000D_
** Po „OK“ paspaudimo:_x000D_
*** Į sukurtą Case įrašomi primarycontactid = pasirinktas kontaktas ir customerid = pasirinktas Account._x000D_
_x000D_
*Testavimo scenarijai:*_x000D_
_x000D_
| # | Testavimo scenarijus                                                               | Reikšmė/Sąlyga                                                                   | Numatytas rezultatas                                             |_x000D_
| - | --------------------------------------------------------------------------- | ----------------------------------------------------------------------------------- | ----------------------------------------------------------- |_x000D_
| 1 | Account automatiškai nustatytas, randamas vienas kontaktas su tuo el. paštu | Email.From = [john@company.com](mailto:john@company.com), Account = Company A       | Contact laukas automatiškai užpildytas                      |_x000D_
| 2 | Account nustatytas, bet kontaktas nerastas                                  | Email.From = [unknown@company.com](mailto:unknown@company.com), Account = Company A | Contact laukas tuščias                                      |_x000D_
| 3 | Account nustatytas, randami keli kontaktai su tuo pačiu el. paštu           | Email.From = [shared@company.com](mailto:shared@company.com), Account = Company A   | Contact laukas tuščias                                      |_x000D_
| 4 | Account laukas tuščias konvertavimo lange                                   | Email.From = [user@company.com](mailto:user@company.com), Account = null            | Contact paieška neatliekama                                 |_x000D_
| 5 | Rankiniu būdu pasirinktas Account, atidarytas Contact lookup                | Account = Company B, paspaustas Enter Contact lauke                                 | Rodo tik Company B kontaktus                                |_x000D_
| 6 | Patvirtinamas konvertavimas (Confirm)                                            | Account ir Contact nustatyti                                                        | Sukurtame Case užpildyti `customerid` ir `primarycontactid` |_x000D_
_x000D_
*Priklausomybės:*_x000D_
* Pirmoji funkcijos dalis – automatinis Account nustatymas pagal el. laiško siuntėjo domeną._x000D_
* (DEV) JavaScript skriptas Convert to Case formoje._x000D_
* Contact ir Account sąryšis per lauką ParentCustomerId._x000D_
* Custom lookup filtro logika (addCustomFilter) Contact laukui._x000D_
_x000D_
*Neįtraukta sprendimo apimtyje(Out of Scope):*_x000D_
* Kontaktų automatinis kūrimas ar atnaujinimas._x000D_
* El. pašto domeno logikos keitimas Account parinkimui._x000D_
* Tolimesnių el. laiškų (po pirmos konversijos) kontaktų analizė ar fiksavimas.</t>
        </is>
      </c>
      <c r="R3" s="1" t="n">
        <v>45918</v>
      </c>
      <c r="S3" s="1" t="n">
        <v>45968</v>
      </c>
      <c r="T3" t="n">
        <v>0</v>
      </c>
      <c r="U3" t="b">
        <v>0</v>
      </c>
      <c r="V3" t="n">
        <v>15</v>
      </c>
      <c r="W3" t="n">
        <v>15</v>
      </c>
      <c r="X3" t="n">
        <v>2.75</v>
      </c>
      <c r="Y3" t="n">
        <v>2.75</v>
      </c>
      <c r="Z3" t="inlineStr">
        <is>
          <t>[List]</t>
        </is>
      </c>
      <c r="AA3" t="inlineStr">
        <is>
          <t>2025-10-16T16:27:36Z</t>
        </is>
      </c>
      <c r="AC3" t="n">
        <v>99744</v>
      </c>
      <c r="AD3" t="inlineStr">
        <is>
          <t>FR3-SPRINT_1</t>
        </is>
      </c>
      <c r="AE3">
        <f>Merge1[[#This Row],[Column1.estimated_hours]] * ( Merge1[[#This Row],[Column1.done_ratio]] / 100 )</f>
        <v/>
      </c>
      <c r="AF3" s="11">
        <f>IF(Merge1[[#This Row],[Column1.spent_hours]]&gt;0, Merge1[[#This Row],[DE]]/Merge1[[#This Row],[Column1.spent_hours]], 0)</f>
        <v/>
      </c>
    </row>
    <row r="4">
      <c r="A4" t="n">
        <v>99743</v>
      </c>
      <c r="B4" t="n">
        <v>512</v>
      </c>
      <c r="C4" t="inlineStr">
        <is>
          <t>LG-D365 CRM Project</t>
        </is>
      </c>
      <c r="D4" t="n">
        <v>2</v>
      </c>
      <c r="E4" t="inlineStr">
        <is>
          <t>Feature</t>
        </is>
      </c>
      <c r="F4" t="n">
        <v>1</v>
      </c>
      <c r="G4" t="inlineStr">
        <is>
          <t>New</t>
        </is>
      </c>
      <c r="H4" t="b">
        <v>0</v>
      </c>
      <c r="I4" t="n">
        <v>4</v>
      </c>
      <c r="J4" t="inlineStr">
        <is>
          <t>Normal</t>
        </is>
      </c>
      <c r="K4" t="n">
        <v>875</v>
      </c>
      <c r="L4" t="inlineStr">
        <is>
          <t>VilMat</t>
        </is>
      </c>
      <c r="M4" t="n">
        <v>821</v>
      </c>
      <c r="N4" t="inlineStr">
        <is>
          <t>GabKoj</t>
        </is>
      </c>
      <c r="O4" t="n">
        <v>96214</v>
      </c>
      <c r="P4" t="inlineStr">
        <is>
          <t>FR3-SPRINT_1-015 - Queue/Queue Items &gt; Naujo modulio fiksuoti eilių konvertavimą kūrimas</t>
        </is>
      </c>
      <c r="Q4" t="inlineStr">
        <is>
          <t>h1. Poreikis:_x000D_
_x000D_
Kaip stebėti, kaip laiškai vaikšto per eiles pvz.: kai laiškas pvz atėjo į eilę bendri aptarnavimo klausimai, jie perkėlė į kitą eilę pvz krovinių gabenimas. Kaip pamatyti, kada ir kas perkėlė (įsitraukti į ataskaitas)_x000D_
Per kiek laiko laiškas virto užklausa/ galimybe_x000D_
Kai laiškas į užklausą konvertuojamas iš eilės į kurią atėjo._x000D_
Kai laiškas į užklausą konvertuojamas iš eilės į kurią buvo perkeltas._x000D_
_x000D_
h1. Patvirtintas poreikis:_x000D_
_x000D_
Klausimai: EM_x000D_
Fiksuoti: eilės įrašo sukūrimą, pasikeitimus, trynimą, konvertvimą į objetus. T.y. analogas retrospektyvai. Laikas, vartotojas, eilės. Kur matysis visa laiško kelionė. Kelionės laikas nuo laiško įkritimo į CRM (pirmą eilę) ir pavertimo į užklausą/galimybę turėtų tapti kintamuoju (KPI), kurį būtų galima prisidėti rodiniuose, ataskaitose._x000D_
Reikia detalesnio paaiškinimo, kaip būtų atvaizduojama, kaip galima matyti duomenis, ar visi vartotojai matys? _x000D_
Galimybė įsitraukti duomenis į PBI ataskaitą. (Per kliek laiko laiškas virto CRM objektu (kokiu), kas atliko veiksmus). _x000D_
Papildomai reikalingas dar vienas kintamasis (KPI) bendram kelionės laikui nuo laiško patekimo į CRM iki užklausos/galimybės uždarymo._x000D_
_x000D_
VM: istorinių veiksmų registre fiksuoti ne tik sąryšį su eilės įrašu, bet ir su pačiu el. laišku._x000D_
_x000D_
Nuspręsti kiek laiko saugom. Kai ištrinsim nesimatys PBI._x000D_
_x000D_
Fiksuoti: _x000D_
eilės įrašo sukūrimą,_x000D_
pasikeitimus, _x000D_
trynimą, _x000D_
konvertvimą į objetus._x000D_
_x000D_
Laikas, _x000D_
vartotojas, _x000D_
eilės. _x000D_
Kelionės laikas nuo laiško įkritimo į CRM (pirmą eilę) ir pavertimo į užklausą/galimybę turėtų tapti kintamuoju (KPI), kurį būtų galima prisidėti rodiniuose, ataskaitose._x000D_
Papildomai reikalingas dar vienas kintamasis (KPI) bendram kelionės laikui nuo laiško patekimo į CRM iki užklausos/galimybės uždarymo._x000D_
_x000D_
Siūlomas sprendimas:_x000D_
Galima fiksuoti 'Queue Item details' formoje._x000D_
Pasiekiama iš Queue&gt;pažymimas Queue Item&gt; per tris taškelius pasirenkamas 'Queue item details';_x000D_
Arba per 'Queue Items'&gt;'Queue Item Details';_x000D_
Queue Item Details forma -&gt; fiksuojami pernešimo į kitą eilę įrašai._x000D_
Būtų sukurtas atskiras modulis šiems duomenims fiksuoti. O 'Queue Item Details' formoje įdedama lentelė(sub-grid) kurioje matomi sukurti įrašai nuo įvykdyto perkėlimo._x000D_
Vertinimas: 6val._x000D_
_x000D_
Laiko fiksavimas nuo eilės įrašo patekimo į eilę iki jo konversijos į Galimybę/Užklausą. Užfiksuojamas laikas su kodo pagalba, kai tik įvyksta konversija._x000D_
Vertinimas: 5.5val._x000D_
_x000D_
Papildomai fiksuojamas laikas  nuo laiško patekimo į CRM iki susieto Case/Opportunity įrašo uždarymo._x000D_
Vertinimas: 2val._x000D_
_x000D_
GO-ERP komentaras (Versija 3)(redaguoti, kad perskaityti viską):_x000D_
Queue item details - Atsidarius formą būtų matoma papildoma sąrašo tipo lentelė, kurioje būtų galimybė, pagal įrašų kiekį, matyti, kiek kartų buvo keista el.laiško eilė. Atitinkamai kada ir kas ją keitė(perkėlė) - tai atskiri laukai kitame modulyje._x000D_
Atskiras modulis būtų traktuojamas kaip įrašų istorijos lentelė, kur kiekvienam iš eilės įrašų būtų sukuriamas atskiras įrašas nuo apibrėžto pakeitimo - perkėlimo į kitą eilę._x000D_
Atitinkamai, dėl įrašų kiekio apimties, tokiam moduliui, suderinus, būtų pritaikomas įrašų trynimas po 'x' laiko(tarsi senaties termino suėjimas), tam, kad sistema nebūtų apkrauta(vietos prasme) nebereikalingais įrašais._x000D_
_x000D_
Queue item details - Atsidarius formą būtų matomi papildomi datos ir laiko laukeliai bei išskaičiuotas laikas(sutartinai - sekundėmis, minutėmis ar valandomis). Kai tik laiškas patektų į eilę, kodo pagalba sistema automatiškai tam įrašui fiksuotų datos ir laiko faktą. Kai tik laiškui būtų įvykdytas 'konvertavimas' sistemos kodas taipogi užfiksuotų datos ir laiko faktą. Po šių dviejų laukų faktinių rodiklių užfiksavimo fone sistema išskaičiuotų praleistą laiką, kurį įdėtų į dedikuotą lauką skaitine reikšme._x000D_
Jeigu eilės įrašas(po konvertavimo) išlieka eilėje - duomenys fiksuojami tiesiogai eilės įraše, o vėliau nesunkiai išsitraukiami laukeliai analizei._x000D_
Jeigu eilės įrašas(po konvertavimo) dingsta iš eilės - duomenys gali būti kuriami ir fiksuojami atskirame, dedikuotame 'custom' modulyje', kurio faktiniai įrašai taipogi gali būti analizuojami ar paimami į PowerBI._x000D_
_x000D_
Kai kalbame apie atskirą modulį, tai visuomet turime galimybę apriboti per saugumo rolę, kuri vartotojų grupė gali matyti tą modulį arba netgi sukurti atskirą vartotojų saugumo rolę, kuri gali būti priskiriama tik 'x' asmenims._x000D_
Kai kalbame apie standartinio modulio viduje esančius laukelius, pasirinkimo galimybės yra dvejopos - a) formoje laukai neatvaizduojami ir tik apie tai žinantys asmenys gali juos prisidėti į rodinius bei patraukti į powerbi; b) formoje(kai tai leidžia MS apribojimai) laukeliams pritaikyti laukų saugumo parametrus, kurių pagrindu nepriskirtiems vartotojams rodo tik žvaigždutes '****', o priskirtiems realius, laukeliuose užfiksuotus, duomenis '2025-08-08 22:20'._x000D_
_x000D_
_x000D_
h1. Atliekamos modifikacijos:_x000D_
_x000D_
*&lt;pre&gt;_x000D_
Modifikacijų sprendinio šaltinis: LTG_CRM - #96210 FR3-SPRINT1 System Customizations_x000D_
&lt;/pre&gt;*_x000D_
_x000D_
*Tikslas:*_x000D_
Sukurti centralizuotą eilės įrašų retrospektyvos (Queue Item Details) sprendimą, kuris automatiškai fiksuoja visus laiško perėjimus tarp eilių, vartotojų veiksmus (sukūrimą, perkėlimą, konvertavimą, ištrynimą) ir skaičiuoja du KPI rodiklius:_x000D_
# Laiką nuo laiško patekimo į CRM eilę iki jo konvertavimo į „Case“ ar „Opportunity“._x000D_
# Bendrą kelionės laiką nuo laiško patekimo į CRM iki uždaryto „Case“ ar „Opportunity“._x000D_
_x000D_
Sprendimas užtikrina pilną laiško „kelionės“ istoriją bei suteikia galimybę Power BI ataskaitoms analizuoti proceso efektyvumą._x000D_
_x000D_
*1. Moduliai ir duomenų struktūra*_x000D_
* Sukuriamas naujas custom modulis „Queue Item History“ ,kaip nepriklausoma esybė._x000D_
* Kiekvienas eilės įrašo perkėlimas, konvertavimas ar ištrynimas fiksuojamas naujai sukurtame įraše šiame modulyje._x000D_
* Modulis saugo šiuos atributus: laikas, vartotojas, veiksmo tipas, pradinė ir nauja eilė, susietas laiškas, susietas „Case/Opportunity“._x000D_
* „Queue Item Details“ formoje įdedamas sub-grid rodantis susijusius istorinius įrašus iš „Queue Item History“._x000D_
_x000D_
*2. Veiksmų fiksavimas*_x000D_
_x000D_
| Įvykis                           | Fiksuojamas veiksmas | Sukuriamas įrašas modulyje | Papildoma logika                                              |_x000D_
| -------------------------------- | -------------------- | -------------------------- | ------------------------------------------------------------- |_x000D_
| Eilės įrašo sukūrimas            | New Queue Item       | ✔️                         | Užfiksuojamas įkėlimo laikas ir pradinė eilė                  |_x000D_
| Perkėlimas į kitą eilę           | Queue Reassigned     | ✔️                         | Fiksuojamas senos ir naujos eilės ID, vartotojas, data/laikas |_x000D_
| Konvertavimas į Case/Opportunity | Converted            | ✔️                         | Užfiksuojamas konversijos laikas ir tikslinis objektas        |_x000D_
| Eilės įrašo ištrynimas           | Deleted              | ✔️                         | Fiksuojama paskutinė būsena, vartotojas, data/laikas          |_x000D_
_x000D_
*3. KPI logika (automatiniai skaičiavimai)*_x000D_
* *KPI_1 – Queue-to-Object Duration:*_x000D_
** Skaičiuojamas skirtumas tarp Queue Entry Time ir Converted to Object Time._x000D_
** Matavimo vienetas: minutės (konfigūruojama)._x000D_
** Vertė saugoma laukelyje QueueToConversionDuration._x000D_
* *KPI_2 – CRM-to-Closure Duration:*_x000D_
** Skaičiuojamas skirtumas tarp Email Received in CRM Time ir Linked Object Closed On._x000D_
** Skaičiuojamas tik jei objektas = Case arba Opportunity su statusu = Closed._x000D_
** Vertė saugoma laukelyje TotalJourneyDuration._x000D_
* *KPI rodikliai bus prieinami Dynamics rodiniuose, taip pat Power BI dataset'e per OData/Dataverse jungtį.*_x000D_
_x000D_
*4. Apsauga ir prieigos teisės*_x000D_
* „Queue Item History“ matomumas valdomas per security roles:_x000D_
** Sprendinio apimtyje netaikoma: Pasirinktinai - Tik vartotojai su "x" rolėmis mato visus įrašus arba visi vartotojai mato visus įrašus_x000D_
** Jeigu taikomos vartotojų rolės - Ne sistemos administratoriai ar aukščiausias teises turintys vartotojai gali matyti tik savo sukurtus ar su jais susijusius įrašus._x000D_
* Sprendinio apimtyje netaikoma: Alternatyviai, formos laukai gali būti apsaugoti per "Field Security Profile" – nerodyti faktinių datų neautorizuotiems vartotojams (rodyti „****“)._x000D_
_x000D_
*5. Įrašų gyvavimo ciklas*_x000D_
* Įrašai automatiškai trinami po nustatyto termino – pvz. po 12 mėn. nuo įrašo sukūrimo._x000D_
* Po trynimo įrašai nebebus prieinami Power BI ataskaitose._x000D_
* Terminas konfigūruojamas sistemos 'Bulk delete job' parametro pagrindu._x000D_
_x000D_
*6. Atvaizdavimas formose*_x000D_
* „Queue Item Details“ forma papildoma sub-grid lentele „Queue Item History (Related Records)“._x000D_
* Lentele rodoma:_x000D_
** Data / Laikas_x000D_
** Veiksmas (Created, Reassigned, Converted, Deleted)_x000D_
** Vartotojas_x000D_
** Nuo / Į eilę_x000D_
** Susietas objektas - Case_x000D_
** Susietas objektas - Opportunity_x000D_
** Trukmė (sekundės/minutės/valandos)_x000D_
_x000D_
*Modulis ir laukai:*_x000D_
_x000D_
| Entity             | Field                     | Description                                             |_x000D_
| ------------------ | ------------------------- | ------------------------------------------------------- |_x000D_
| Queue Item History | Name                      | Automatinis pavadinimas (QueueItem + timestamp)         |_x000D_
| Queue Item History | Action Type               | Veiksmo tipas (Created, Reassigned, Converted, Deleted) |_x000D_
| Queue Item History | Performed By              | Vartotojas, atlikęs veiksmą                             |_x000D_
| Queue Item History | Previously Performed      | Vartotojas, prieš tai atlikęs veiksmą                   |_x000D_
| Queue Item History | Source Queue              | Pradinė eilė                                            |_x000D_
| Queue Item History | Target Queue              | Nauja eilė                                              |_x000D_
| Queue Item History | Related Queue Item        | Susietas Eilės įrašas                                   |_x000D_
| Queue Item History | Related Email             | Susietas laiškas (Email entity)                         |_x000D_
| Queue Item History | Related Case              | Susietas Case                                           |_x000D_
| Queue Item History | Related Opportunity       | Susietas Opportunity                                    |_x000D_
| Queue Item History | Queue Entry Time          | Laiško patekimo į eilę laikas                           |_x000D_
| Queue Item History | Conversion Time           | Konvertavimo į objektą(Case/Opportunity) laikas         |_x000D_
| Queue Item History | Object Closed On          | Susieto objekto uždarymo data                           |_x000D_
| Queue Item History | QueueToConversionDuration | KPI_1 rezultatas                                        |_x000D_
| Queue Item History | TotalJourneyDuration      | KPI_2 rezultatas                                        |_x000D_
_x000D_
*Testavimo scenarijai:*_x000D_
_x000D_
| # | Test Scenario                    | Input / Condition                      | Expected Result                                                                                |_x000D_
| - | -------------------------------- | -------------------------------------- | ---------------------------------------------------------------------------------------------- |_x000D_
| 1 | Naujas laiškas įkrenta į eilę    | Sukuriamas naujas Queue Item           | Sukuriamas Queue Item History įrašas su veiksmo tipu "Created", fiksuojamas laikas            ir surišamas objektas su Queue Item įrašu |_x000D_
| 2 | Laiškas perkeliamas į kitą eilę  | Queue Item reassigned to another queue | Atnaujinamas Queue Item History įrašas, susietas su Queue Item įrašu, su nurodytu senos ir naujos eilės ID, vartotoju ir laiku      |_x000D_
| 3 | Queue Item konvertuojamas į Case | Queue Item -&gt; Case                     | Atnaujinamas Queue Item  History įrašas, susietas su Queue Item įrašu, į veiksmą  „Converted“, užfiksuojamas konversijos laikas, apskaičiuojamas KPI_1 |_x000D_
| 4 | Case uždaromas                   | Case status = Resolved/Cancelled       | Atnaujinamas atitinkamas History įrašas su uždarymo laiku, skaičiuojamas KPI_2                 |_x000D_
| 5 | Opportunity uždaromas            | Opportunnity status = Won/Lost         | Atnaujinamas atitinkamas History įrašas su uždarymo laiku, skaičiuojamas KPI_2                 |_x000D_
| 6 | Duomenų šalinimo logika          | Įrašas senesnis nei 6 mėn.             | Įrašas automatiškai pašalinamas pagal nustatytą senaties logiką 'Bulk delete operation' sisteminėje operacijoje                               |_x000D_
_x000D_
*Konfigūravimo rodikliai:*_x000D_
_x000D_
| Parametras                  | Aprašymas                                                            | Standartas |_x000D_
| --------------------------- | -------------------------------------------------------------------- | ---------- |_x000D_
| QueueHistoryRetentionMonths | Kiek mėnesių saugomi istorijos įrašai                                | 6          |_x000D_
| KPI_TimeUnit                | Laiko matavimo vienetas KPI skaičiavimui (Seconds / Minutes / Hours) | Minutės    |_x000D_
_x000D_
*Laukų vertimai(EN &gt; LT):*_x000D_
_x000D_
| Entity                     | Lauko Loginis Pavadinimas       | Pavadinimas (EN)             | Pavadinimas (LT)              | Aprašymas                                  |_x000D_
| ------------------------------- | ----------------------------- | ------------------------ | -------------------------- | ------------------------------------------------------- |_x000D_
| **Queue Item History (custom)** | new_name                      | Name                     | Pavadinimas                | Automatinis įrašo pavadinimas (Queue Item + timestamp)  |_x000D_
|                                 | new_actiontype                | Action Type              | Veiksmo tipas              | Veiksmo tipas (Created, Reassigned, Converted, Deleted) |_x000D_
|                                 | new_performedby               | Performed By             | Veiksmą atlikęs vartotojas | Asmuo, atlikęs veiksmą                                  |_x000D_
|                                 | new_sourcequeue               | Source Queue             | Pradinė eilė               | Eilė, iš kurios įrašas buvo perkeltas                   |_x000D_
|                                 | new_targetqueue               | Target Queue             | Nauja eilė                 | Eilė, į kurią įrašas buvo perkeltas                     |_x000D_
|                                 | new_relatedemail              | Related Email            | Susijęs el. laiškas        | El. laiškas, su kuriuo susietas įrašas                  |_x000D_
|                                 | new_relatedqueueitem          | Related Queue Item       | Susijęs eilės įrašas       | Nuoroda į susijusį Queue Item                           |_x000D_
|                                 | new_relatedcase               | Related Case             | Susijusi užklausa          | Nuoroda į susijusį Case įrašą                           |_x000D_
|                                 | new_relatedopportunity        | Related Opportunity      | Susijusi galimybė          | Nuoroda į susijusį Opportunity įrašą                    |_x000D_
|                                 | new_queueentrytime            | Queue Entry Time         | Įkėlimo į eilę laikas      | Kada įrašas pateko į eilę                               |_x000D_
|                                 | new_conversiontime            | Conversion Time          | Konvertavimo laikas        | Kada įrašas paverstas į objektą                         |_x000D_
|                                 | new_objectclosedon            | Object Closed On         | Objekto uždarymo data      | Kada susietas objektas buvo uždarytas                   |_x000D_
|                                 | new_queuetoconversionduration | Queue-to-Object Duration | Laikas iki konvertavimo    | Trukmė nuo eilės iki konvertavimo                       |_x000D_
|                                 | new_totaljourneyduration      | Total Journey Duration   | Bendras kelionės laikas    | Trukmė nuo laiško patekimo į CRM iki uždarymo           |_x000D_
|                                 | new_retentionexpirydate       | Retention Expiry Date    | Saugojimo termino pabaiga  | Kada įrašas bus automatiškai pašalintas                 |_x000D_
| Entity                     | Lauko Loginis Pavadinimas       | Pavadinimas (EN)             | Pavadinimas (LT)              | Aprašymas                                  |_x000D_
| ------------------------- | --------------------------- | ------------------------- | ------------------------------ | -------------------------------------------------------------- |_x000D_
| **Queue Item (standard)** | new_kpi_queueconversiontime | Queue Conversion Duration | Laikas eilėje iki konvertavimo | KPI_1 – skirtumas tarp įėjimo į eilę ir konvertavimo į objektą |_x000D_
|                           | new_kpi_totaljourneytime    | Total Journey Duration    | Bendras kelionės laikas        | KPI_2 – skirtumas nuo laiško patekimo iki uždarymo             |_x000D_
|                           | new_relatedqueueitem        | Related Queue Item        | Susijęs eilės įrašas           | Nuoroda į Queue Item History įrašą                             |_x000D_
| Entity                     | Lauko Loginis Pavadinimas       | Pavadinimas (EN)             | Pavadinimas (LT)              | Aprašymas                                  |_x000D_
| ------------------- | ------------------------ | ---------------------- | ----------------------- | -------------------------------------------- |_x000D_
| **Case (standard)** | new_relatedqueueitem     | Related Queue Item     | Susijęs eilės įrašas    | Nuoroda į Queue Item                         |_x000D_
|                     | new_relatedopportunity   | Related Opportunity    | Susijusi galimybė       | Nuoroda į susietą Opportunity (jei taikoma)  |_x000D_
|                     | new_kpi_totaljourneytime | Total Journey Duration | Bendras kelionės laikas | KPI nuo laiško gavimo iki užklausos uždarymo |_x000D_
| Entity                     | Lauko Loginis Pavadinimas       | Pavadinimas (EN)             | Pavadinimas (LT)              | Aprašymas                                  |_x000D_
| -------------------------- | ------------------------ | ---------------------- | ----------------------- | -------------------------------------------- |_x000D_
| **Opportunity (standard)** | new_relatedqueueitem     | Related Queue Item     | Susijęs eilės įrašas    | Nuoroda į Queue Item                         |_x000D_
|                            | new_relatedcase          | Related Case           | Susijusi užklausa       | Nuoroda į susietą Case                       |_x000D_
|                            | new_kpi_totaljourneytime | Total Journey Duration | Bendras kelionės laikas | KPI nuo laiško gavimo iki galimybės uždarymo |_x000D_
_x000D_
_x000D_
*Priklausomybės:*_x000D_
* Queue ir Queue Item standartiniai moduliai._x000D_
* Email, Case, Opportunity – sistemos moduliai, naudojami sąryšiui._x000D_
* Power BI dataset integracija per Dataverse jungtį._x000D_
* Plugin arba Power Automate flow veiksmai įrašų fiksavimui._x000D_
_x000D_
*Prielaidos:*_x000D_
* Laiškai visada paverčiami į Case arba Opportunity įrašą._x000D_
* Konversijos įvykis vyksta per Dynamics 365 UI ar automatinį procesą._x000D_
* Sistemoje įdiegtas server-side synchronization, užtikrinantis laiškų patekimo datų fiksavimą._x000D_
_x000D_
*Neįtraukiama(Out of Scope):*_x000D_
* Laiškų turinio fiksavimas ar atvaizdavimas._x000D_
* Automatinis KPI vizualizavimas (atliekama Power BI pusėje)._x000D_
* Istorinės (iki diegimo) eilės veiklos rekonstrukcija.</t>
        </is>
      </c>
      <c r="R4" s="1" t="n">
        <v>45918</v>
      </c>
      <c r="S4" s="1" t="n">
        <v>45968</v>
      </c>
      <c r="T4" t="n">
        <v>30</v>
      </c>
      <c r="U4" t="b">
        <v>0</v>
      </c>
      <c r="V4" t="n">
        <v>13.5</v>
      </c>
      <c r="W4" t="n">
        <v>13.5</v>
      </c>
      <c r="X4" t="n">
        <v>6.5</v>
      </c>
      <c r="Y4" t="n">
        <v>6.5</v>
      </c>
      <c r="Z4" t="inlineStr">
        <is>
          <t>[List]</t>
        </is>
      </c>
      <c r="AA4" t="inlineStr">
        <is>
          <t>2025-10-16T16:21:33Z</t>
        </is>
      </c>
      <c r="AC4" t="n">
        <v>99743</v>
      </c>
      <c r="AD4" t="inlineStr">
        <is>
          <t>FR3-SPRINT_1</t>
        </is>
      </c>
      <c r="AE4">
        <f>Merge1[[#This Row],[Column1.estimated_hours]] * ( Merge1[[#This Row],[Column1.done_ratio]] / 100 )</f>
        <v/>
      </c>
      <c r="AF4" s="11">
        <f>IF(Merge1[[#This Row],[Column1.spent_hours]]&gt;0, Merge1[[#This Row],[DE]]/Merge1[[#This Row],[Column1.spent_hours]], 0)</f>
        <v/>
      </c>
    </row>
    <row r="5">
      <c r="A5" t="n">
        <v>99742</v>
      </c>
      <c r="B5" t="n">
        <v>512</v>
      </c>
      <c r="C5" t="inlineStr">
        <is>
          <t>LG-D365 CRM Project</t>
        </is>
      </c>
      <c r="D5" t="n">
        <v>2</v>
      </c>
      <c r="E5" t="inlineStr">
        <is>
          <t>Feature</t>
        </is>
      </c>
      <c r="F5" t="n">
        <v>18</v>
      </c>
      <c r="G5" t="inlineStr">
        <is>
          <t>Release</t>
        </is>
      </c>
      <c r="H5" t="b">
        <v>0</v>
      </c>
      <c r="I5" t="n">
        <v>4</v>
      </c>
      <c r="J5" t="inlineStr">
        <is>
          <t>Normal</t>
        </is>
      </c>
      <c r="K5" t="n">
        <v>875</v>
      </c>
      <c r="L5" t="inlineStr">
        <is>
          <t>VilMat</t>
        </is>
      </c>
      <c r="M5" t="n">
        <v>875</v>
      </c>
      <c r="N5" t="inlineStr">
        <is>
          <t>VilMat</t>
        </is>
      </c>
      <c r="O5" t="n">
        <v>96214</v>
      </c>
      <c r="P5" t="inlineStr">
        <is>
          <t>FR3-SPRINT_1-014 - Queue/Queue Items &gt; Convert To Case - Konvertavimo lango laukų atvaizdavimo ir eilių įrašų paleidimo iš eilės modifikacijos</t>
        </is>
      </c>
      <c r="Q5" t="inlineStr">
        <is>
          <t xml:space="preserve">h1. Poreikis:_x000D_
_x000D_
Eilės konvertavimo formoje atsirastų naujas pasirinkimas su numatytaja reikšme Taip, kuris laišką pasišalintų iš eilės. Dabar lieka ir reikia rankiniu būdu pašalinti._x000D_
_x000D_
Siūlomas dizainas:_x000D_
Automatizuotas sprendimas - Konversijos metu paleidžiama 'Remove' queue item funkcija, kurios pagalba eilės įrašas pašalinamas iš pastarosios eilės. Vartotojui nereikia žymėti jokių žymų, procesas vyksta numatyta tvarka be galimybės palikti įrašą eilėje._x000D_
Kodo panaudojimas._x000D_
Vertinimas: 4.5val._x000D_
_x000D_
Papildomai:_x000D_
Iš Convert to Case pop-up formos paslepiami/išimami laukeliai 'Create new Case' bei 'Change email to completed';_x000D_
Numatyta tvarka laukų vertės nustatomos į 'Yes';_x000D_
Vertinimas: 1val._x000D_
_x000D_
h1. Patvirtintas poreikis:_x000D_
_x000D_
Konvertavimo lange lieka šie laukai:_x000D_
Klientas_x000D_
Kontaktas_x000D_
Tema_x000D_
Potemė_x000D_
_x000D_
Sukurti naują užklausą: Taip/Ne VM: Paslėpti laukus iš convert to case lango_x000D_
Pakeiskite el.pašto būseną į Baigta ir uždarykite formą  VM: Paslėpti laukus iš convert to case lango_x000D_
_x000D_
h1. Atliekamos modifikacijos:_x000D_
_x000D_
*&lt;pre&gt;_x000D_
Modifikacijų sprendinio šaltinis: LTG_CRM - #96210 FR3-SPRINT1 System Customizations_x000D_
&lt;/pre&gt;*_x000D_
_x000D_
*Modifikacijų atlikimo vieta sistemoje:*_x000D_
* Queue Items_x000D_
* Email Messages _x000D_
* Convert To Case pop-up_x000D_
_x000D_
*El.laiškai (Email Messages):*_x000D_
* 'Convert To Case' langas po mygtuko paspaudimo:_x000D_
** Išimamas/paslepiamas laukas 'Open the new case'_x000D_
*** Lauko standartinė reikšmė nustatoma į 'Yes'_x000D_
** Išimamas/paslepiamas laukas 'Change the Email status to Completed and close the form'_x000D_
*** Lauko standartinė reikšmė nustatoma į 'Yes'_x000D_
* Paspaudus mygtuką 'Confirm' sistema kreipiasi į 'Queue Items' modulį ir ten susietam 'Queue Item' įrašui atlieka 'Remove' funkciją_x000D_
** Modifikacijos rezultatas: 'Convert to case' lange paspaudus 'Confirm' sistema pašalina susietą 'Queue Item' iš 'Queue', sukuria naują 'Case' įrašą, o laiškas padaromas/išlaikomas kaip 'Completed'_x000D_
_x000D_
*Išimtys:*_x000D_
* Jeigu 'Convert To case' lange paspaudus mygtuką 'Confirm' gaunama sisteminė klaida - nepašalinti 'Queue Item' iš 'Queue'_x000D_
* Jeigu po 'Confirm' mygtuko paspaudimo 'Convert To Case' lange nesukuriamas 'Case' įrašas - nepašalinti 'Queue Item' iš 'Queue' </t>
        </is>
      </c>
      <c r="R5" s="1" t="n">
        <v>45918</v>
      </c>
      <c r="S5" s="1" t="n">
        <v>45968</v>
      </c>
      <c r="T5" t="n">
        <v>40</v>
      </c>
      <c r="U5" t="b">
        <v>0</v>
      </c>
      <c r="V5" t="n">
        <v>5.5</v>
      </c>
      <c r="W5" t="n">
        <v>5.5</v>
      </c>
      <c r="X5" t="n">
        <v>7</v>
      </c>
      <c r="Y5" t="n">
        <v>7</v>
      </c>
      <c r="Z5" t="inlineStr">
        <is>
          <t>[List]</t>
        </is>
      </c>
      <c r="AA5" t="inlineStr">
        <is>
          <t>2025-10-16T16:19:00Z</t>
        </is>
      </c>
      <c r="AC5" t="n">
        <v>99742</v>
      </c>
      <c r="AD5" t="inlineStr">
        <is>
          <t>FR3-SPRINT_1</t>
        </is>
      </c>
      <c r="AE5">
        <f>Merge1[[#This Row],[Column1.estimated_hours]] * ( Merge1[[#This Row],[Column1.done_ratio]] / 100 )</f>
        <v/>
      </c>
      <c r="AF5" s="11">
        <f>IF(Merge1[[#This Row],[Column1.spent_hours]]&gt;0, Merge1[[#This Row],[DE]]/Merge1[[#This Row],[Column1.spent_hours]], 0)</f>
        <v/>
      </c>
    </row>
    <row r="6">
      <c r="A6" t="n">
        <v>99741</v>
      </c>
      <c r="B6" t="n">
        <v>512</v>
      </c>
      <c r="C6" t="inlineStr">
        <is>
          <t>LG-D365 CRM Project</t>
        </is>
      </c>
      <c r="D6" t="n">
        <v>2</v>
      </c>
      <c r="E6" t="inlineStr">
        <is>
          <t>Feature</t>
        </is>
      </c>
      <c r="F6" t="n">
        <v>9</v>
      </c>
      <c r="G6" t="inlineStr">
        <is>
          <t>Ready for testing</t>
        </is>
      </c>
      <c r="H6" t="b">
        <v>0</v>
      </c>
      <c r="I6" t="n">
        <v>4</v>
      </c>
      <c r="J6" t="inlineStr">
        <is>
          <t>Normal</t>
        </is>
      </c>
      <c r="K6" t="n">
        <v>875</v>
      </c>
      <c r="L6" t="inlineStr">
        <is>
          <t>VilMat</t>
        </is>
      </c>
      <c r="M6" t="n">
        <v>875</v>
      </c>
      <c r="N6" t="inlineStr">
        <is>
          <t>VilMat</t>
        </is>
      </c>
      <c r="O6" t="n">
        <v>96215</v>
      </c>
      <c r="P6" t="inlineStr">
        <is>
          <t>FR3-SPRINT_1-013 - Email Messages &gt; Laiško peržiūros statuso laukelio kūrimas, Flow kūrimas, Timeline Email card modifikavimas,  Pranešimų siuntimas eilėje nurodytai komandai.</t>
        </is>
      </c>
      <c r="Q6" t="inlineStr">
        <is>
          <t>h1. Poreikis:_x000D_
_x000D_
Kai įkrenta naujas laiškas į eilę:_x000D_
* Turi būti požymis, kad naujas laiškas (pasikeitusi spalva, bold, statusas)_x000D_
* Atsirasti nortification, kad atėjo laiškas. _x000D_
* Koks požymis galėtų būti vartotojui, kad tai naujas/neskaitytas laiškas_x000D_
_x000D_
h1. Patvirtintas poreikis:_x000D_
_x000D_
* Kai eilėje atsiranda naujas laiškas, statusas rodinio eilutėje pasidaro "Naujas". Uždedama foninė spalva 'Mėlyna'._x000D_
* Atsidarius laišką statusas rodinyje pasikeičia į 'Perskaitytas'. Foninė spalva pakeičiama į 'Žalia'._x000D_
* Pačiame laiške užkeisti "Terminą" su "Statusu"(naujas laukas)(Svarbiausios informacijos sektorius)._x000D_
* Pačiame laiške paslėpti lauką 'Savininkas'._x000D_
_x000D_
*Pranešimų siuntimo eilėje priskirtos komandos nariams sprendimas:*_x000D_
*Laiškų pranešimai pateikiami CRM - Sisteminio pranešimo pagrindu*_x000D_
* Eilės įraše sukuriamas naujas laukas skirtas nurodyti pranešimų gavimo komandą._x000D_
* Komandos priskiriamos eilėms._x000D_
* Sukuriamas foninis flow procesas, kuris pasileidžia, kai prie eilės priskiriamas naujas eilės įrašas(el.laiškas)._x000D_
* Flow procesas sugeneruoja pranešimą komandos nariams į sistemos pranešimų panelę. MS Teams nereikia siųsti pranešimų._x000D_
*Apie pranešimų tekstų atvaizduojamą informaciją informuoti užsakovą priėjus prie užduoties vykdymo.*_x000D_
_x000D_
* Jeigu įmanoma padaryti naują laiško įrašo būklės laukelį matomą Timeline kortelėje (Timeline kortelės korekcijos)_x000D_
_x000D_
h1. Atliekamos modifikacijos:_x000D_
_x000D_
*&lt;pre&gt;_x000D_
Modifikacijų sprendinio šaltinis: LTG_CRM - #96210 FR3-SPRINT1 System Customizations_x000D_
&lt;/pre&gt;*_x000D_
_x000D_
*Modifikacijų atlikimo vieta sistemoje:*_x000D_
* Queue Items_x000D_
* Queues_x000D_
* Email Messages_x000D_
* Case_x000D_
* Opportunity_x000D_
* Account_x000D_
* Contact_x000D_
_x000D_
*El.laiškai (Email Messages):*_x000D_
* Sukuriamas naujas choice tipo laukelis 'Email Read Status' ('Perskaitymo statusas')_x000D_
* Sukuriamas naujas globalusis pasirinkimų komponentas skirtas naudoti modulių įrašų kūrime._x000D_
** Komponento pasirinkimai:_x000D_
** Unread (LT: Neskaitytas) (Spalva: Mėlyna)_x000D_
** Read (LT: Perskaitytas) (Spalva: Žalia)_x000D_
* Standartinė laukelio reikšmė nustatoma į 'Unread'_x000D_
_x000D_
* El.laiškų pagrindinėje formoje (main form) įterpiamas 'Email Read Status' laukelis komponento 'OptionSet Wrapper' pagrindu (atvaizduoti pasirinkimą su spalvine gama)_x000D_
* El. laiškų pagrindinėje formoje (main form) paslepiamas laukas 'Owner'(LT: Sąvininkas)_x000D_
* Peržiūrimi atvaizduojami sisteminiai el.laiškų modulio rodiniai ('views') ir jeigu yra, iš jų pašalinamas stulpelis 'Owner'._x000D_
* Sukuriama nauja verslo taisyklė:_x000D_
** 'Email Read Status' laukelis atvaizduojamas tik tuo atveju, kai Email Message įrašo laukas 'Direction' lygus vertei 'Incoming'. Jeigu 'Outgoing' -&gt; Laukelis slepiamas._x000D_
** Jeigu 'Direction' lygu 'Incoming' &gt; Atvaizduoti lauką 'Email Read Status'_x000D_
** Kitu atveju &gt; Slėpti_x000D_
* Sukuriama nauja verslo taisyklė:_x000D_
** Jeigu 'Direction' lygu 'Outgoing' &gt; Nustatyti "Email Read Status' vertę į 'Read'_x000D_
** Kitu atveju &gt; nedaroma nieko_x000D_
_x000D_
* Sukuriama JS OnLoad funkcija:_x000D_
** Funkcija veikia kai vartotojas atidaro el.laiškų modulio įrašą_x000D_
** Funkcija veikia tik su tais 'Email message' įrašais, kurių 'Direction' lygus 'Incoming'_x000D_
** Atvėrus 'email message' įrašą sistema patikrina ar 'Direction' lygu 'Incoming' ir jeigu taip, pakeičia laukelio 'Email Read Status' vertę iš 'Unread' į 'Read'_x000D_
** Rezultatas: Atidarius email įrašą laukelio 'Email Read Status' vertė lygi 'Read'_x000D_
_x000D_
* Sukuriamas naujas mygtukas 'Change to Unread'(LT: 'Padaryti neperskaitytu')_x000D_
** Mygtukas patalpinamas tarp 'Forward' ir 'Save' mygtukų_x000D_
** Mygtuko funkcionalumas veikia kodo pagrindu:_x000D_
*** Paspaudus mygtuką pirmiausia iškviečiamas naujas pop-up langas su užrašu "Are you sure?"(LT: Esate įsitikinę savo veiksmu?) ir apačioje esančiais dviem mygtukais "Confirm/Cancel"(LT: Patvirtinti/Atšaukti)_x000D_
*** Paspaudus mygtuką "Cancel" atšaukiamas pop-up langas ir nieko nedaroma_x000D_
*** Paspaudus mygtuką "Confirm" inicijuojamas JS kodas, kuris el.laiško laukeliui 'Email Read Status' pakeičia vertę iš Read (LT: Perskaitytas) į Unread (LT: Neskaitytas) (Spalva: Mėlyna)_x000D_
*** Teigiamas rezultatas: El.laiškų modulio įrašo lauko 'Email Read Status' tampa 'Unread'_x000D_
_x000D_
*Eilės (Queues):*_x000D_
* Sukuriamas naujas lookup tipo laukelis "Notfications Team" (LT: Pranešimų komanda) žvelgiantis į 'Komandų(Teams)' modulį._x000D_
* Laukelis pridedamas į 'Queue' modulio pagrindinę formą (Main form)_x000D_
_x000D_
*Eilių įrašai (Queue Items):*_x000D_
* Queue Items moduliui suaktyvinamas ir sukonfigūruojamas 'Power Apps grid control' funkcionalumas_x000D_
* Rodiniai -&gt; Rodinys "All Items" -&gt; Pridedamas papildomas stulpelis 'Email Read Status' ('Perskaitymo statusas') iš 'Email messages' modulio_x000D_
_x000D_
* Sukuriamas naujas flow procesas 'Queue Items - System Notification to Team about incoming email message'_x000D_
* Flow veikimo pagrindas:_x000D_
** Į CRM sistemą sinchronizuojamas naujas el.laiškas ir priskiriamas vienai iš egzistuojančių public 'Queue'_x000D_
*** Ar 'Queue' yra 'public' nustatoma pagal lauką 'Type', kurio reikšmės lygios 'Public'/'Private'_x000D_
** Pasileidžia flow procesas ir tikrina ar laiško 'Queue' yra 'Public' pagal 'Type' lauką_x000D_
** Jeigu 'Queue' modulio lauko 'Type' reikšmė lygi 'Private' &gt; nedaro nieko ir užbaigia procesą su rezultatu 'Queue is private'._x000D_
** Jeigu 'Queue' modulio lauko 'Type' reikšmė lygi 'Public':_x000D_
*** Tikrina priskirtoje 'Queue', kokia nurodyta komanda laukelyje "Notfications Team"_x000D_
*** Jeigu lauke nenurodyta komanda &gt; Nedaro nieko ir užbaigia flow procesą su rezultatu 'No Team specified'_x000D_
*** Jeigu lauke nurodyta komanda &gt; Paima toje komandoje nurodytus komandos narius ir jiems išsiunčia 'System Notification' pranešimą_x000D_
* *System Notification pranešimo turinys:*_x000D_
** Pranešimo tema: 'Eilėje gautas naujas laiškas'_x000D_
** Pranešimo papildomi komentarai: _x000D_
*** Gautas: XXX (nurodoma 'Created On' data iš el.laiško įrašo)_x000D_
*** Siuntėjas: XXX (nurodomas 'From' iš el.laiško įrašo)_x000D_
** Aktyvus mygtukas nukreipia į priskirtą 'Email' įrašą_x000D_
_x000D_
*Užklausos (Cases):*_x000D_
* Pamodifikuojama 'Email message' kortelė atvaizduojama Timeline kanale:_x000D_
** Iš kortelės išimamas 'Status' laukelis_x000D_
** Į kortelę pridedamas 'Email Read Status' laukelis_x000D_
_x000D_
*Galimybės (Opportunties):*_x000D_
* Pamodifikuojama 'Email message' kortelė atvaizduojama Timeline kanale:_x000D_
** Iš kortelės išimamas 'Status' laukelis_x000D_
** Į kortelę pridedamas 'Email Read Status' laukelis_x000D_
_x000D_
*Klientai (Account):*_x000D_
* Pamodifikuojama 'Email message' kortelė atvaizduojama Timeline kanale:_x000D_
** Iš kortelės išimamas 'Status' laukelis_x000D_
** Į kortelę pridedamas 'Email Read Status' laukelis_x000D_
_x000D_
*Kontaktai (Contacts):*_x000D_
* Pamodifikuojama 'Email message' kortelė atvaizduojama Timeline kanale:_x000D_
** Iš kortelės išimamas 'Status' laukelis_x000D_
** Į kortelę pridedamas 'Email Read Status' laukelis_x000D_
_x000D_
*Vertimai:*_x000D_
* 'Email Read Status' &gt; 'Perskaitymo statusas'_x000D_
** 'Unread' &gt; 'Neskaitytas' (Spalva: Mėlyna)_x000D_
** 'Read' &gt; 'Perskaitytas' (Spalva: Žalia)_x000D_
* 'Notfications Team' &gt; 'Pranešimų komanda'_x000D_
* Mygtukas 'Change to Unread' &gt; 'Padaryti neperskaitytu'_x000D_
* Pop-up langas su užrašu "Are you sure?" &gt; 'Esate įsitikinę savo veiksmu?'_x000D_
** Pop-up lango pasirinkimai 'Confirm/Cancel' &gt; 'Patvirtinti/Atšaukti'</t>
        </is>
      </c>
      <c r="R6" s="1" t="n">
        <v>45918</v>
      </c>
      <c r="S6" s="1" t="n">
        <v>45968</v>
      </c>
      <c r="T6" t="n">
        <v>50</v>
      </c>
      <c r="U6" t="b">
        <v>0</v>
      </c>
      <c r="V6" t="n">
        <v>13</v>
      </c>
      <c r="W6" t="n">
        <v>13</v>
      </c>
      <c r="X6" t="n">
        <v>13.5</v>
      </c>
      <c r="Y6" t="n">
        <v>13.5</v>
      </c>
      <c r="Z6" t="inlineStr">
        <is>
          <t>[List]</t>
        </is>
      </c>
      <c r="AA6" t="inlineStr">
        <is>
          <t>2025-10-16T16:13:01Z</t>
        </is>
      </c>
      <c r="AC6" t="n">
        <v>99741</v>
      </c>
      <c r="AD6" t="inlineStr">
        <is>
          <t>FR3-SPRINT_1</t>
        </is>
      </c>
      <c r="AE6">
        <f>Merge1[[#This Row],[Column1.estimated_hours]] * ( Merge1[[#This Row],[Column1.done_ratio]] / 100 )</f>
        <v/>
      </c>
      <c r="AF6" s="11">
        <f>IF(Merge1[[#This Row],[Column1.spent_hours]]&gt;0, Merge1[[#This Row],[DE]]/Merge1[[#This Row],[Column1.spent_hours]], 0)</f>
        <v/>
      </c>
    </row>
    <row r="7">
      <c r="A7" t="n">
        <v>99740</v>
      </c>
      <c r="B7" t="n">
        <v>512</v>
      </c>
      <c r="C7" t="inlineStr">
        <is>
          <t>LG-D365 CRM Project</t>
        </is>
      </c>
      <c r="D7" t="n">
        <v>2</v>
      </c>
      <c r="E7" t="inlineStr">
        <is>
          <t>Feature</t>
        </is>
      </c>
      <c r="F7" t="n">
        <v>2</v>
      </c>
      <c r="G7" t="inlineStr">
        <is>
          <t>In Progress</t>
        </is>
      </c>
      <c r="H7" t="b">
        <v>0</v>
      </c>
      <c r="I7" t="n">
        <v>4</v>
      </c>
      <c r="J7" t="inlineStr">
        <is>
          <t>Normal</t>
        </is>
      </c>
      <c r="K7" t="n">
        <v>875</v>
      </c>
      <c r="L7" t="inlineStr">
        <is>
          <t>VilMat</t>
        </is>
      </c>
      <c r="M7" t="n">
        <v>875</v>
      </c>
      <c r="N7" t="inlineStr">
        <is>
          <t>VilMat</t>
        </is>
      </c>
      <c r="O7" t="n">
        <v>96214</v>
      </c>
      <c r="P7" t="inlineStr">
        <is>
          <t>FR3-SPRINT_1-012 - Queue/Queue Items &gt; Eilių rodinių modifikacijos, laukų vertimai</t>
        </is>
      </c>
      <c r="Q7" t="inlineStr">
        <is>
          <t xml:space="preserve">h1. Poreikis:_x000D_
_x000D_
Padaryti eilės sisteminį rodinį toks kaip dabar yra sukurtas rankiniu būdu ant dabartinio Visi Elementai._x000D_
Įvesta eilė (Laiško įkritimo laikas) - čia turi fiksuotis, kada įkrito laiškas, nesvarbu ar buvo perkeltas iš kitos eilės._x000D_
Pavadinimas (Laiško subjectas)_x000D_
Apie (Objektas) - ar galima pervadinti, kad aiškiau suprasti, kad jau yra susietas su CRM objektu?_x000D_
Kas dirbo (kas prisiskyrė laišką)_x000D_
Kas pateikė (siuntėjas)_x000D_
Siuntėjo klientas (Klientas, jeigu kontaktas yra priskirtas prie kliento)_x000D_
Komentarai (Objektas) - Matosi laiško turinys_x000D_
Kam (Objektas) - matosi, kam buvo adresuotas laiškas (Tik įtraukti TO eilutėje)_x000D_
Eilė - Eilė, kurioje yra laiškas_x000D_
_x000D_
Pridėti stulpelį segmentas_x000D_
_x000D_
Ar galima keisti stulpelių pavadinimus?_x000D_
Ką galima padaryti, kad patogiau matytųsi komentaro stulpelis t.y. aiškiau skaitytųsi laiško turinys neužėjus į vidų? - pertikrinti_x000D_
Kaip padaryti, kad jeigu laiškas perkeltas iš kitos eilės, matytųsi kas ir kada perkėlė. _x000D_
Ar įmanoma Žymėti laiškus rankiniu būdu (keičiant spalvą, uždedant šauktuką ar pan.)_x000D_
Žymėti/ išskirti laiškus automatiškai pagal tam tikrą požymį, kaip pvz. TOP segmentų klientų laiškai būtų žymimi raudona spalva ar atsirastų šauktumas ar pan._x000D_
_x000D_
h1. Patvirtintas poreikis:_x000D_
_x000D_
*Objektas:  Eilės*_x000D_
* Sutvarkyti rodinius (kaip veikia pateikti rodiniai, jeigu neaktualu, juos panaikinti)_x000D_
* Sisteminio rodinio sukūrimas (Pagal dabar Eglės M. sukurtą Visi elementai/Pilnas sąrašas). Reikalinga pervadint nurodytų laukelių vertimus į LT kalbą)._x000D_
** Statusas (*Pritraukti naują lauką*) - Naujas/ perskaitytas._x000D_
** Gauta (dabar Įvesta eilė (Entered Queue) - turi rodyti laiką, kada atsirado eilėje)_x000D_
** Tema (Pavadinimas (Title) - turi rodyti laiško temą (subject'ą)_x000D_
** Susiję (dabar Apie Objektas (Regarding (Object) - turi rodyti su kokiu objektu susijęs laiškas)_x000D_
** Užklausos savininkas (*Pritraukti naują lauką* - rodyti užklausos savininką)_x000D_
** Kas dirba (dabar Kas dirbo (Worked By) - turi rodyti, jeigu prisiskiria sau laišką)_x000D_
** Nuo (dabar Kas pateikė (Objektas) (Submitted By (Object) - rodyti kas atsiuntė laišką el.paštas)_x000D_
** Siuntėjo Klientas (dabar Siuntėjo Klientas (Objektas) Senders Account (Object) - rodyti Klientą pagal siuntėją)_x000D_
** Segmentas (*Pritraukti naują lauką*) - rodyti kliento segmentą, *naujas laukas*._x000D_
** Laiško turinys (dabar Komentarai (Objektas) (Description (Object)- užėjus ant įrašo rodo laiško turinį)_x000D_
** Kam (dabar Kam (Objektas) (To (Object) - užėjus ant įrašo rodo 'TO' eilutės adresatus)_x000D_
** Pirminė Eilė (*Pritraukti naują lauką* - rodytų eilę/eiles į kurią eilę atėjo laiškas)_x000D_
_x000D_
* Papildomi stulpeliai, kurie atsiras, dėl laiškų judėjimo stebėjimo (Nauji eilių įrašų detalių laukeliai VILINTAS) -&gt; *Pridedami į rodinio pabaigą*_x000D_
_x000D_
* *Eilių įrašų žymėjimas ikonėlėmis - Nedaromas.*_x000D_
_x000D_
h1. Atliekamos modifikacijos:_x000D_
_x000D_
*&lt;pre&gt;_x000D_
Modifikacijų sprendinio šaltinis: LTG_CRM - #96210 FR3-SPRINT1 System Customizations_x000D_
&lt;/pre&gt;*_x000D_
_x000D_
Modifikacijų atlikimo vieta sistemoje:_x000D_
* Modulis "Queue Items"_x000D_
_x000D_
* Queue Items modulis:_x000D_
** Rodiniai (views):_x000D_
*** Paslepiami visi sisteminiai rodiniai išskyrus "All Items", kuriam atliekamos korekcijos._x000D_
*** All Cases in Selected Queues_x000D_
*** Cases Available to Work on_x000D_
*** Cases Created This Week_x000D_
*** Cases I am Working On_x000D_
*** Items available to work on_x000D_
*** Items I am working on_x000D_
*** Replies to My Cases_x000D_
!clipboard-202510221754-tmwer.png!_x000D_
_x000D_
** Rodiniai (views):_x000D_
** Redaguojamas sisteminis rodinys "All Items"(LT. Visi elementai):_x000D_
*** Email Status (Email modulis) (Pritraukiamas naujai sukurtas laukas)_x000D_
*** Entered Queue_x000D_
*** Title_x000D_
*** Regarding(Object)_x000D_
*** Owner (Case)_x000D_
*** Worked By_x000D_
*** Submitted By (Object)_x000D_
*** Senders Account (Object)_x000D_
*** Segment (Reikia atvaizduoti kliento segmentą)(Pritraukiamas laukas)_x000D_
*** Description (Object)_x000D_
*** To (Object)_x000D_
*** Initial Queue (Queue)(Pritraukiamas naujai sukurtas laukas)_x000D_
*** *Papildomi laukeliai laiškų judėjimo stebėjimui (Naujai sukurti Queue Items detalių laukai)*_x000D_
_x000D_
* Vertimai (Queue Items modulis):_x000D_
** Rodinys: All Items &gt; All Queue Items (LT. Visi elementai &gt; Pilnas sąrašas)_x000D_
*** Email Status (Email modulis) (Pritraukiamas naujai sukurtas laukas) - LT. Statusas_x000D_
*** Entered Queue - Įvesta eilė &gt; Gauta_x000D_
*** Title - Pavadinimas &gt; Tema_x000D_
*** Regarding(Object) - Apie Objektas &gt; Susiję_x000D_
*** Owner (Case) - Užklausos savininkas &gt; Užklausos savininkas (Pritraukiamas laukas)_x000D_
*** Worked By - Kas dirbo &gt; Kas dirba?_x000D_
*** Submitted By (Object) - Kas pateikė (Objektas) &gt; Nuo_x000D_
*** Senders Account (Object) - Siuntėjo Klientas (Objektas) &gt; Siuntėjo Klientas_x000D_
*** Segment (???) -&gt; Segmentas (Reikia atvaizduoti kliento segmentą)(Pritraukiamas laukas)_x000D_
*** Description (Object) - Komentarai (Objektas) &gt; Laiško turinys_x000D_
*** To (Object) - Kam (Objektas) &gt; Kam_x000D_
*** Initial Queue (Queue) - Pirminė eilė &gt; Pirminė eilė (Pritraukiamas naujai sukurtas laukas)_x000D_
_x000D_
</t>
        </is>
      </c>
      <c r="R7" s="1" t="n">
        <v>45918</v>
      </c>
      <c r="S7" s="1" t="n">
        <v>45968</v>
      </c>
      <c r="T7" t="n">
        <v>0</v>
      </c>
      <c r="U7" t="b">
        <v>0</v>
      </c>
      <c r="V7" t="n">
        <v>10</v>
      </c>
      <c r="W7" t="n">
        <v>10</v>
      </c>
      <c r="X7" t="n">
        <v>4.5</v>
      </c>
      <c r="Y7" t="n">
        <v>4.5</v>
      </c>
      <c r="Z7" t="inlineStr">
        <is>
          <t>[List]</t>
        </is>
      </c>
      <c r="AA7" t="inlineStr">
        <is>
          <t>2025-10-16T16:09:44Z</t>
        </is>
      </c>
      <c r="AC7" t="n">
        <v>99740</v>
      </c>
      <c r="AD7" t="inlineStr">
        <is>
          <t>FR3-SPRINT_1</t>
        </is>
      </c>
      <c r="AE7">
        <f>Merge1[[#This Row],[Column1.estimated_hours]] * ( Merge1[[#This Row],[Column1.done_ratio]] / 100 )</f>
        <v/>
      </c>
      <c r="AF7" s="11">
        <f>IF(Merge1[[#This Row],[Column1.spent_hours]]&gt;0, Merge1[[#This Row],[DE]]/Merge1[[#This Row],[Column1.spent_hours]], 0)</f>
        <v/>
      </c>
    </row>
    <row r="8">
      <c r="A8" t="n">
        <v>99739</v>
      </c>
      <c r="B8" t="n">
        <v>512</v>
      </c>
      <c r="C8" t="inlineStr">
        <is>
          <t>LG-D365 CRM Project</t>
        </is>
      </c>
      <c r="D8" t="n">
        <v>2</v>
      </c>
      <c r="E8" t="inlineStr">
        <is>
          <t>Feature</t>
        </is>
      </c>
      <c r="F8" t="n">
        <v>9</v>
      </c>
      <c r="G8" t="inlineStr">
        <is>
          <t>Ready for testing</t>
        </is>
      </c>
      <c r="H8" t="b">
        <v>0</v>
      </c>
      <c r="I8" t="n">
        <v>4</v>
      </c>
      <c r="J8" t="inlineStr">
        <is>
          <t>Normal</t>
        </is>
      </c>
      <c r="K8" t="n">
        <v>875</v>
      </c>
      <c r="L8" t="inlineStr">
        <is>
          <t>VilMat</t>
        </is>
      </c>
      <c r="M8" t="n">
        <v>875</v>
      </c>
      <c r="N8" t="inlineStr">
        <is>
          <t>VilMat</t>
        </is>
      </c>
      <c r="O8" t="n">
        <v>96214</v>
      </c>
      <c r="P8" t="inlineStr">
        <is>
          <t>FR3-SPRINT_1-011 - Queue/Queue Items &gt; Atliekant 'Convert To Case' veiksmą patikrinti ar nėra jau sukurta užklausa (Case)</t>
        </is>
      </c>
      <c r="Q8" t="inlineStr">
        <is>
          <t>h1. Poreikis:_x000D_
_x000D_
Šiuo metu, kai vienu metu su eilėmis dirba ne vienas žmogus, jei jis neperkrauna sistemos tuo pat metu gali vieną laišką paversti užklausą ir su ja dirbti du ar keli žmonės. Taip yra dubliuojama, sugeneruojami papildomi tie patys laiškai kitiems skyriams ir tada neužtikrinamas efektyvumas. Galėtų turėti realiu laiku fiksavimą, jog kai nori konvertuoti užklausą išmestų pranešimą, jog su šitu laišku dirba x žmogus, arba bent rodytų, jog keli žmonės peržiūri laišką._x000D_
Jeigu konvertuoja tą patį laišką du žmonės rodytų pranešimą, kad šis laiškas jau turi užklausą. _x000D_
_x000D_
h1. Patvirtintas poreikis:_x000D_
_x000D_
Sprendimo pasiūlymas:_x000D_
* Galima įtraukti papildomą prevenciją, kad konversijos metu į užklausą/galimybę būtų patikrinama ar šis laiškas jau nėra priskirtas konkrečiai užklausai/galimybei ir jeigu yra - išmestų klaidos pranešimą su mygtuku 'OK' ir atšauktų konversiją._x000D_
Reziumuotas patvirtinimas iš kliento:_x000D_
* Kai vienu metu iš vieno laiško konvertuojama į objektą, sistema užfiksuoja ir sekančiam rodo klaidą užrašu "Klaida. CRM objektas jau sukurtas kito vartotojo"_x000D_
_x000D_
h1. Atliekamos modifikacijos:_x000D_
_x000D_
*&lt;pre&gt;_x000D_
Modifikacijų sprendinio šaltinis: LTG_CRM - #96210 FR3-SPRINT1 System Customizations_x000D_
&lt;/pre&gt;*_x000D_
_x000D_
*Convert To Case custom langas:*_x000D_
* Atliekama kodo korekcija_x000D_
* Po mygtuko 'Confirm' paspaudimo pirmiausia patikrinti sistemoje ar nėra su pasirinktu 'Email' jau susietas 'Case' įrašas_x000D_
* Tikrinama, pagal Email GUID_x000D_
* Sistema ieško Email turi pririštą 'Case' pagal 'Regarding' laukelį_x000D_
* Jeigu neranda:_x000D_
** Vykdo veiksmus esama tvarka - sukuria naują užklausą_x000D_
* Jeigu randa:_x000D_
** Vartotojui iššaukiamas naujas klaidos langas_x000D_
*** Lango viduje atvaizduojamas tekstas EN: Error. Case record already created by another user ; LT: Klaida. CRM objektas jau sukurtas kito vartotojo_x000D_
*** Klaidos lange atvaizduojamas vienas mygtukas 'Confirm'(LT: Patvirtinti)_x000D_
** Po 'Confirm' mygtuko paspaudimo 'Case' įrašo kūrimas atšaukiamas_x000D_
** Priklausomai nuo galimybių, jeigu įmanoma - 'Convert To Case' langas išlaikomas su pasirinkimais. Jeigu neįmanoma - 'Convert To Case' langas uždaromas_x000D_
_x000D_
Rezultatas:_x000D_
* Kuomet vartotojas iš laiško įrašo paspaudžia mygtuką 'Convert To Case' ir iššokusiame lange spaudžia mygtuką 'Confirm' sistema pirmiausia patikrina ar nėra tam laiškui jau sukurtas 'Case' įrašas. Jeigu nėra - sukuria naują 'Case' įrašą ir atveria 'case' įrašo langą. Jeigu yra - Išmeta klaidos pranešimą ir atšaukia 'Case' įrašo kūrimą</t>
        </is>
      </c>
      <c r="R8" s="1" t="n">
        <v>45918</v>
      </c>
      <c r="S8" s="1" t="n">
        <v>45968</v>
      </c>
      <c r="T8" t="n">
        <v>30</v>
      </c>
      <c r="U8" t="b">
        <v>0</v>
      </c>
      <c r="V8" t="n">
        <v>5</v>
      </c>
      <c r="W8" t="n">
        <v>5</v>
      </c>
      <c r="X8" t="n">
        <v>4.5</v>
      </c>
      <c r="Y8" t="n">
        <v>4.5</v>
      </c>
      <c r="Z8" t="inlineStr">
        <is>
          <t>[List]</t>
        </is>
      </c>
      <c r="AA8" t="inlineStr">
        <is>
          <t>2025-10-16T15:52:13Z</t>
        </is>
      </c>
      <c r="AC8" t="n">
        <v>99739</v>
      </c>
      <c r="AD8" t="inlineStr">
        <is>
          <t>FR3-SPRINT_1</t>
        </is>
      </c>
      <c r="AE8">
        <f>Merge1[[#This Row],[Column1.estimated_hours]] * ( Merge1[[#This Row],[Column1.done_ratio]] / 100 )</f>
        <v/>
      </c>
      <c r="AF8" s="11">
        <f>IF(Merge1[[#This Row],[Column1.spent_hours]]&gt;0, Merge1[[#This Row],[DE]]/Merge1[[#This Row],[Column1.spent_hours]], 0)</f>
        <v/>
      </c>
    </row>
    <row r="9">
      <c r="A9" t="n">
        <v>99738</v>
      </c>
      <c r="B9" t="n">
        <v>512</v>
      </c>
      <c r="C9" t="inlineStr">
        <is>
          <t>LG-D365 CRM Project</t>
        </is>
      </c>
      <c r="D9" t="n">
        <v>2</v>
      </c>
      <c r="E9" t="inlineStr">
        <is>
          <t>Feature</t>
        </is>
      </c>
      <c r="F9" t="n">
        <v>1</v>
      </c>
      <c r="G9" t="inlineStr">
        <is>
          <t>New</t>
        </is>
      </c>
      <c r="H9" t="b">
        <v>0</v>
      </c>
      <c r="I9" t="n">
        <v>4</v>
      </c>
      <c r="J9" t="inlineStr">
        <is>
          <t>Normal</t>
        </is>
      </c>
      <c r="K9" t="n">
        <v>875</v>
      </c>
      <c r="L9" t="inlineStr">
        <is>
          <t>VilMat</t>
        </is>
      </c>
      <c r="M9" t="n">
        <v>875</v>
      </c>
      <c r="N9" t="inlineStr">
        <is>
          <t>VilMat</t>
        </is>
      </c>
      <c r="O9" t="n">
        <v>99737</v>
      </c>
      <c r="P9" t="inlineStr">
        <is>
          <t>FR3-SPRINT_1-010 - Global Settings &gt; Globalioje paieškoje filtruoti pagal įmonės kodą</t>
        </is>
      </c>
      <c r="Q9" t="inlineStr">
        <is>
          <t>h1. Poreikis:_x000D_
_x000D_
Kliento ieškoti bendroje paieškoje ir pagal įmonės kodą, dabar ieško tik pagal pavadinimą_x000D_
_x000D_
h1. Patvirtintas poreikis:_x000D_
_x000D_
Global Search &gt; Pridėti papildomą paieškos rodiklį (įmonės kodas)_x000D_
_x000D_
h1. Atliekamos modifikacijos:_x000D_
_x000D_
*&lt;pre&gt;_x000D_
Modifikacijų sprendinio šaltinis: LTG_CRM - #96210 FR3-SPRINT1 System Customizations_x000D_
&lt;/pre&gt;*_x000D_
_x000D_
*Globalieji nustatymai:*_x000D_
* Į globalios paieškos nustatymus įtraukiamas papildomas filtras galėti ieškoti įrašų, pagal 'Company code'(LT: įmonės kodas) laukelį.</t>
        </is>
      </c>
      <c r="R9" s="1" t="n">
        <v>45918</v>
      </c>
      <c r="S9" s="1" t="n">
        <v>45968</v>
      </c>
      <c r="T9" t="n">
        <v>0</v>
      </c>
      <c r="U9" t="b">
        <v>0</v>
      </c>
      <c r="V9" t="n">
        <v>1.5</v>
      </c>
      <c r="W9" t="n">
        <v>1.5</v>
      </c>
      <c r="X9" t="n">
        <v>0.5</v>
      </c>
      <c r="Y9" t="n">
        <v>0.5</v>
      </c>
      <c r="Z9" t="inlineStr">
        <is>
          <t>[List]</t>
        </is>
      </c>
      <c r="AA9" t="inlineStr">
        <is>
          <t>2025-10-16T15:33:44Z</t>
        </is>
      </c>
      <c r="AC9" t="n">
        <v>99738</v>
      </c>
      <c r="AD9" t="inlineStr">
        <is>
          <t>FR3-SPRINT_1</t>
        </is>
      </c>
      <c r="AE9">
        <f>Merge1[[#This Row],[Column1.estimated_hours]] * ( Merge1[[#This Row],[Column1.done_ratio]] / 100 )</f>
        <v/>
      </c>
      <c r="AF9" s="11">
        <f>IF(Merge1[[#This Row],[Column1.spent_hours]]&gt;0, Merge1[[#This Row],[DE]]/Merge1[[#This Row],[Column1.spent_hours]], 0)</f>
        <v/>
      </c>
    </row>
    <row r="10">
      <c r="A10" t="n">
        <v>99737</v>
      </c>
      <c r="B10" t="n">
        <v>512</v>
      </c>
      <c r="C10" t="inlineStr">
        <is>
          <t>LG-D365 CRM Project</t>
        </is>
      </c>
      <c r="D10" t="n">
        <v>2</v>
      </c>
      <c r="E10" t="inlineStr">
        <is>
          <t>Feature</t>
        </is>
      </c>
      <c r="F10" t="n">
        <v>2</v>
      </c>
      <c r="G10" t="inlineStr">
        <is>
          <t>In Progress</t>
        </is>
      </c>
      <c r="H10" t="b">
        <v>0</v>
      </c>
      <c r="I10" t="n">
        <v>4</v>
      </c>
      <c r="J10" t="inlineStr">
        <is>
          <t>Normal</t>
        </is>
      </c>
      <c r="K10" t="n">
        <v>875</v>
      </c>
      <c r="L10" t="inlineStr">
        <is>
          <t>VilMat</t>
        </is>
      </c>
      <c r="M10" t="n">
        <v>875</v>
      </c>
      <c r="N10" t="inlineStr">
        <is>
          <t>VilMat</t>
        </is>
      </c>
      <c r="O10" t="n">
        <v>96210</v>
      </c>
      <c r="P10" t="inlineStr">
        <is>
          <t>FR3-SPRINT_1-000 - Global Settings (Bendriniai nustatymai)</t>
        </is>
      </c>
      <c r="Q10" t="inlineStr">
        <is>
          <t>*Sistemos apimtyje atliekami su klientu pasitvirtinti pirmo prioriteto darbai*_x000D_
_x000D_
&lt;pre&gt;_x000D_
Darbai atliekami sprendinyje pavadinimu: LTG_CRM - #96210 FR3-SPRINT1 System Customizations_x000D_
&lt;/pre&gt;</t>
        </is>
      </c>
      <c r="R10" s="1" t="n">
        <v>45915</v>
      </c>
      <c r="S10" s="1" t="n">
        <v>45968</v>
      </c>
      <c r="T10" t="n">
        <v>0</v>
      </c>
      <c r="U10" t="b">
        <v>0</v>
      </c>
      <c r="W10" t="n">
        <v>1.5</v>
      </c>
      <c r="X10" t="n">
        <v>0</v>
      </c>
      <c r="Y10" t="n">
        <v>0.5</v>
      </c>
      <c r="Z10" t="inlineStr">
        <is>
          <t>[List]</t>
        </is>
      </c>
      <c r="AA10" t="inlineStr">
        <is>
          <t>2025-10-16T15:27:57Z</t>
        </is>
      </c>
      <c r="AC10" t="n">
        <v>99737</v>
      </c>
      <c r="AD10" t="inlineStr">
        <is>
          <t>FR3-SPRINT_1</t>
        </is>
      </c>
      <c r="AE10">
        <f>Merge1[[#This Row],[Column1.estimated_hours]] * ( Merge1[[#This Row],[Column1.done_ratio]] / 100 )</f>
        <v/>
      </c>
      <c r="AF10" s="11">
        <f>IF(Merge1[[#This Row],[Column1.spent_hours]]&gt;0, Merge1[[#This Row],[DE]]/Merge1[[#This Row],[Column1.spent_hours]], 0)</f>
        <v/>
      </c>
    </row>
    <row r="11">
      <c r="A11" t="n">
        <v>99736</v>
      </c>
      <c r="B11" t="n">
        <v>512</v>
      </c>
      <c r="C11" t="inlineStr">
        <is>
          <t>LG-D365 CRM Project</t>
        </is>
      </c>
      <c r="D11" t="n">
        <v>2</v>
      </c>
      <c r="E11" t="inlineStr">
        <is>
          <t>Feature</t>
        </is>
      </c>
      <c r="F11" t="n">
        <v>1</v>
      </c>
      <c r="G11" t="inlineStr">
        <is>
          <t>New</t>
        </is>
      </c>
      <c r="H11" t="b">
        <v>0</v>
      </c>
      <c r="I11" t="n">
        <v>4</v>
      </c>
      <c r="J11" t="inlineStr">
        <is>
          <t>Normal</t>
        </is>
      </c>
      <c r="K11" t="n">
        <v>875</v>
      </c>
      <c r="L11" t="inlineStr">
        <is>
          <t>VilMat</t>
        </is>
      </c>
      <c r="M11" t="n">
        <v>875</v>
      </c>
      <c r="N11" t="inlineStr">
        <is>
          <t>VilMat</t>
        </is>
      </c>
      <c r="O11" t="n">
        <v>96213</v>
      </c>
      <c r="P11" t="inlineStr">
        <is>
          <t>FR3-SPRINT_1-009 - Case &gt; Užklausos main formos vizualinio atvaizdavimo modifikacijos, naujo rodinio kūrimas</t>
        </is>
      </c>
      <c r="Q11" t="inlineStr">
        <is>
          <t>h1. Poreikis:_x000D_
_x000D_
Ar galima keisti laiko juostos išdėstymą. Aiškiau atskirti kur yra laiškai, kurs kiti veiksmai, kurs sisteminiai pranešimai. Platesnis matymas be praplėtimo._x000D_
Filtravimo galimybės_x000D_
Eglė Papildymas:_x000D_
Yra dvi dalys:_x000D_
1.Individualus Filtro nustatymas laiko juostoje (komunikacija dalyje). Kad vartotas galėtų pats nusistatyti ką nori matyti visų objektų laiko juostose (vartotojo lygemenyje, nenustatant visiems). Rūšiavimas pagal datą., Rodyti laiškus kaip pokalbį, kaip atskirus pranešimus. Filtruoti, kad rodytų pagal pasirinkitą veiklos tipą (pvz,: tik laiškus (Ateinantys, išeinantys, juodrasčiai), be sisteminių pranešimų, tiks isteminius pranešimus, tik skambučius_x000D_
*2. Užklausoje santraukoje perdėlioti atskirų blokų išdėstymą, kas padėtų plačiau matyti komunikacijos dalį (reikės konsultacijos)*_x000D_
_x000D_
_x000D_
h1. Patvirtintas poreikis:_x000D_
_x000D_
*Užklausos atvaizdavimo keitimas/eiliškumas:*_x000D_
* *Skirtukas "Santrauka"(Summary):*_x000D_
** Užklausos detalės - viskas taip pat. Keičiamas vietos užimamumas į 1/3, _x000D_
** Komunikacija - keičiamas vietos užimamumas į 2/3_x000D_
** Atvejo suvestinė - perkeliama virš komunikacijos_x000D_
** Pagalba - perkeliama po komunikacija_x000D_
** Susiję su užklausa -  perkeliama po Užklausos detalės_x000D_
* *Skirtukas - Vidinės užduotys - nekeičiama(vidus liekas tas pats)*_x000D_
* *Skirtukas - Dokumentai - nekeičiamas(vidus lieka tas pats)*_x000D_
* *Skirtukas - Kliento 360:*_x000D_
** Įtraukti, kad rodytų ir užklausas sukurtas tam pačiam klientui (Naujas subgrid, antras nuo viršaus)_x000D_
** Užklausų dalyje rodytų - užklausos numerį, užklausos pavadinimas, būseną,  Kreipinio tema, kreipinio potemė, sukūrimo datą, savininką, Klientą_x000D_
** Eiliškumas būtų: sutartys, užklausos, galimybės_x000D_
** Rodytų visas užklausas_x000D_
** Užklausų Sub-lentelėje galėti filtruoti pagal būseną._x000D_
*** Rodytų pagal sukūrimo datą nuo naujausio iki seniausio._x000D_
** Galimybių dalyje rodytų pagal sukūrimo datą nuo naujausio iki seniausio._x000D_
** Sub-lentelėje Galimybės, užkeičiame lauką Potencialus klientas į Klientas._x000D_
* *SLA skirtukas - pagal pateiktą poreikį SLA poreikyje #99735 *_x000D_
_x000D_
* *Susiję įrašai  - vaizdavimas/ slėpimas:*_x000D_
** Tikrinimo retrospektyva - rodomas_x000D_
** Veiklos - rodomas_x000D_
** Atvejo valdymo agento..... -  Paslėpti_x000D_
** Suminiai proceso etapų laikai  - Paslėpti_x000D_
** Paskesni veiksmai - Paslėpti_x000D_
_x000D_
*Case &gt; Timeline &gt; email &gt; nerodyti įrašo statuso. (email form korekcija).*_x000D_
_x000D_
h1. Atliekamos modifikacijos:_x000D_
_x000D_
*&lt;pre&gt;_x000D_
Modifikacijų sprendinio šaltinis: LTG_CRM - #96210 FR3-SPRINT1 System Customizations_x000D_
&lt;/pre&gt;*_x000D_
_x000D_
Modifikacijų atlikimo vieta sistemoje:_x000D_
* Case modulis_x000D_
_x000D_
*Case atvaizdavimo keitimas/eiliškumas:*_x000D_
* *Skirtukas "Santrauka"(Summary):*_x000D_
** Užklausos detalės - išdėstymas nekeičiamas. Keičiamas vietos užimamumas į 1/3; _x000D_
** Komunikacija - keičiamas vietos užimamumas į 2/3_x000D_
** Atvejo suvestinė - perkeliama virš komunikacijos_x000D_
** Pagalba - perkeliama po komunikacija_x000D_
** Susiję su užklausa -  perkeliama po Užklausos detalės_x000D_
* *Skirtukas - Vidinės užduotys - nekeičiama*_x000D_
* *Skirtukas - Dokumentai - nekeičiamas*_x000D_
_x000D_
* *Skirtukas - Kliento 360:*_x000D_
** *Išdėstymas:* Agreements, Cases, Opportunities_x000D_
** Sukuriamas naujas case rodinys(view) pavadinimu "All Cases Related to Account"(LT: Visos užklausos susijusios su klientu):_x000D_
*** Rodinys atvaizduoja visas užklausas_x000D_
*** Rodinys atvaizduoja eilutes pagal sukūrimo datą nuo naujausio iki seniausio._x000D_
*** Rodinio(view) stulpelių atvaizdavimas - užklausos numeris, užklausos pavadinimas, būseną, kreipinio tema, kreipinio potemė, sukūrimo datą, savininkas, Klientas_x000D_
** Atliekama modifikacija Account modulio quick view formai 'Agreements/Opportunities/Quotes subgrids'_x000D_
*** Pakeičiamas formos pavadinimas į 'Agreements/Cases/Opportunities subgrids'_x000D_
*** Po Agreements sub-grid'u įterpiamas sub-grid pavadinimu "All Cases Related to Account" atvaizduojantis visas užklausas, kurios sukurtos case įraše nurodytam 'Account' įrašui. Esant būtinybei pritaikomi sub-grid filtrai._x000D_
*** Užklausų sub-lentelėje "All Cases Related to Account" įgalinamas filtravimas pagal būseną(status/status reason)._x000D_
** Galimybių sub-grid pakoreguojamas, kad eilutes rodytų pagal sukūrimo datą nuo naujausio iki seniausio. (Tikėtina labiau apsimoka sukurti dublikatinį rodinį)_x000D_
** Sub-lentelėje Galimybės, užkeičiame lauką Potencialus klientas į Klientas._x000D_
* *SLA skirtukas - pagal pateiktą poreikį SLA poreikyje #99735 *_x000D_
_x000D_
* *Susiję įrašai  - vaizdavimas/ slėpimas:*_x000D_
** Audit History(LT: Tikrinimo retrospektyva) - rodomas_x000D_
** Activities(LT: Veiklos) - rodomas_x000D_
** Case Management Agent for case closure Activities/Monitoring (LT: Atvejo valdymo agento...) parinktys -  Paslepiamos_x000D_
** PSD Totals (LT: Suminiai proceso etapų laikai)  - Paslėpti_x000D_
** Next Actions (LT: Paskesni veiksmai) - Paslėpti_x000D_
_x000D_
*Case sklaidos kanalo(Timeline) 'Email' kortelės modifikacijos:*_x000D_
** Atliekama modifikacija nerodyti įrašo statuso. 'Closed, Active' (jeigu sistema leidžia)_x000D_
** Pakeičiamas 'Status' lauko atvaizdavimas į 'Status Reason' lauko atvaizdavimą (jeigu sistema leidžia)_x000D_
_x000D_
*Atliekami vertimai į LT kalbą:*_x000D_
* Case rodinys(view) pavadinimu "All Cases Related to Account" &gt; LT: Visos užklausos susijusios su klientu_x000D_
* Account modulio quick view formai 'Agreements/Cases/Opportunities subgrids' &gt; LT: Sutarčių/Užklausų/Galimybių sub-lentelės</t>
        </is>
      </c>
      <c r="R11" s="1" t="n">
        <v>45918</v>
      </c>
      <c r="S11" s="1" t="n">
        <v>45968</v>
      </c>
      <c r="T11" t="n">
        <v>0</v>
      </c>
      <c r="U11" t="b">
        <v>0</v>
      </c>
      <c r="V11" t="n">
        <v>10</v>
      </c>
      <c r="W11" t="n">
        <v>10</v>
      </c>
      <c r="X11" t="n">
        <v>4.5</v>
      </c>
      <c r="Y11" t="n">
        <v>4.5</v>
      </c>
      <c r="Z11" t="inlineStr">
        <is>
          <t>[List]</t>
        </is>
      </c>
      <c r="AA11" t="inlineStr">
        <is>
          <t>2025-10-16T15:23:33Z</t>
        </is>
      </c>
      <c r="AC11" t="n">
        <v>99736</v>
      </c>
      <c r="AD11" t="inlineStr">
        <is>
          <t>FR3-SPRINT_1</t>
        </is>
      </c>
      <c r="AE11">
        <f>Merge1[[#This Row],[Column1.estimated_hours]] * ( Merge1[[#This Row],[Column1.done_ratio]] / 100 )</f>
        <v/>
      </c>
      <c r="AF11" s="11">
        <f>IF(Merge1[[#This Row],[Column1.spent_hours]]&gt;0, Merge1[[#This Row],[DE]]/Merge1[[#This Row],[Column1.spent_hours]], 0)</f>
        <v/>
      </c>
    </row>
    <row r="12">
      <c r="A12" t="n">
        <v>99735</v>
      </c>
      <c r="B12" t="n">
        <v>512</v>
      </c>
      <c r="C12" t="inlineStr">
        <is>
          <t>LG-D365 CRM Project</t>
        </is>
      </c>
      <c r="D12" t="n">
        <v>2</v>
      </c>
      <c r="E12" t="inlineStr">
        <is>
          <t>Feature</t>
        </is>
      </c>
      <c r="F12" t="n">
        <v>1</v>
      </c>
      <c r="G12" t="inlineStr">
        <is>
          <t>New</t>
        </is>
      </c>
      <c r="H12" t="b">
        <v>0</v>
      </c>
      <c r="I12" t="n">
        <v>4</v>
      </c>
      <c r="J12" t="inlineStr">
        <is>
          <t>Normal</t>
        </is>
      </c>
      <c r="K12" t="n">
        <v>875</v>
      </c>
      <c r="L12" t="inlineStr">
        <is>
          <t>VilMat</t>
        </is>
      </c>
      <c r="M12" t="n">
        <v>875</v>
      </c>
      <c r="N12" t="inlineStr">
        <is>
          <t>VilMat</t>
        </is>
      </c>
      <c r="O12" t="n">
        <v>96213</v>
      </c>
      <c r="P12" t="inlineStr">
        <is>
          <t>FR3-SPRINT_1-008 - Case &gt; Stage Duration modulio korekcijos &gt; Paskaičiuotą laiką atvaizduoti minutėmis, sukurti išsprendimo laiko laukelį, rodinio korekcijos</t>
        </is>
      </c>
      <c r="Q12" t="inlineStr">
        <is>
          <t>h1. Poreikis:_x000D_
_x000D_
SLA skirtuke neskaičiuoja užklausos išsprendimo laiko._x000D_
Peržiūrėti SLA skirtuką ir suprsti kokia skaičiavimo logika_x000D_
_x000D_
h1. Patvirtintas poreikis:_x000D_
_x000D_
Atnaujintas ir iškeltas naujas poreikis:_x000D_
Stage duration laukelių korekcijos atvaizduoti skaitinę vertę minutėmis(vietoje valandų);_x000D_
Naujo laukelio Resolution duration (Resolved) sukūrimas ir vertės įrašymas nuo Process stage duration (Totals) lentelėje fiksuojamų įrašų bendros sumos;_x000D_
Process stage duration modulio atvaizduojamos sub-lentelės Case įraše stulpelių išdėstymo korekcijos bei eiliškumo(sorting) keitimas;_x000D_
_x000D_
Detalizacija:_x000D_
*Užklausoje, Skirtukas SLA:*_x000D_
* Skaičiuoti minutėmis (dabar skaičiuoja valandomis)_x000D_
** Resolution duration (Closed)_x000D_
** Resolution duration (Resolved)_x000D_
* *Turi matytis (eiliškumas):*_x000D_
** *SLA veiksmai*_x000D_
*** Sukūrimo data -&gt; data ir laikas_x000D_
*** Numatoma uždarymo data -&gt; data_x000D_
*** Uždaryta -&gt; data ir laikas_x000D_
*** Sprendimo trukmė (uždaryta) -&gt; Skaičiuoti minutėmis (dabar skaičiuoja valandomis). Resolution duration (Closed)_x000D_
*** Sprendimo trukmė išspręsta) -&gt; slėpti laukelį._x000D_
*** Naujas laukelis Sprendimo trukmė išspręsta Resolution duration (Resolved) -&gt; skaičiuoti minutėmis, o rezultatas susumuojamas iš Process stage duration (Totals) sukurtų įrašų konkrečiai užklausai._x000D_
*** Atsakymas patvirtintas -&gt; prašymas paslėpti._x000D_
** *Proceso etapo trukmė (Suminė) - rodo proceso žingsnius, kurie buvo pasirinkti sprendžiant užklausą.*_x000D_
*** Reikalinga, kad rodytų nuo Ilgiausia laiko iki trumpiausia laiko (minutės) (sorting)_x000D_
*** Stulpelių išdėstymas:_x000D_
**** Etapo pavadinimas_x000D_
**** Naujas laukelis - Pakartojimai (kiek kartų buvo naudotas žingsnis (suskaičiuoti process stages duration vienodus įrašus))_x000D_
**** Trukmė minutėmis_x000D_
**** Trukmė valandomis_x000D_
**** Trukmė dienomis_x000D_
** *Proceso etapo trukmė (eiliškumas) - rodo visus proceso žingsnius.*_x000D_
*** Nuo naujausio iki seniausio (pradžia)_x000D_
*** Etapo pavadinimas (dabar tema)_x000D_
*** Pradžia - data ir laikas (taip, kaip dabar)_x000D_
*** Pabaiga - data ir laikas (taip, kaip dabar)_x000D_
*** Trukmė minutėmis_x000D_
*** Trukmė valandomis_x000D_
*** Trukmė dienomis_x000D_
*** Vilintas pasitikrina, kas yra Pakartojimo pradžia/pabaiga ir jeigu neturi įtakos išimti iš rodinio._x000D_
** *SLA KPI atvejai*_x000D_
*** Palikti taip kaip yra. Nukelti sekciją/sub-lentelę į skirtuko apačią._x000D_
_x000D_
h1. Atliekamos modifikacijos:_x000D_
_x000D_
*&lt;pre&gt;_x000D_
Modifikacijų sprendinio šaltinis: LTG_CRM - #96210 FR3-SPRINT1 System Customizations_x000D_
&lt;/pre&gt;*_x000D_
_x000D_
Modifikacijų atlikimo vieta sistemoje:_x000D_
* Modulis "Process stage duration"_x000D_
* Modulis "Process stage duration (Totals)"_x000D_
* Modulis "Case"_x000D_
_x000D_
* *Case modulis:*_x000D_
* Pakeičiami laukų skaičiavimui iš valandų į minutes:_x000D_
** Resolution duration (Closed)_x000D_
** Resolution duration (Resolved)_x000D_
* Case main forma:_x000D_
** Skirtuke SLA veiksmai keičiamas išdėstymas ir laukų atvaizdavimas tokiu eiliškumu:_x000D_
*** *Sekcija SLA veiksmai:*_x000D_
**** Sukūrimo data -&gt; data ir laikas -&gt; keičiama pozicija_x000D_
**** Numatoma uždarymo data -&gt; data -&gt; keičiama pozicija_x000D_
**** Uždaryta -&gt; data ir laikas -&gt; keičiama pozicija_x000D_
**** Resolution duration (Closed)(LT Sprendimo trukmė (uždaryta)) -&gt; Keičiama laukelio formulė skaičiuoti minutėmis(dabar skaičiuoja valandomis)._x000D_
**** Sprendimo trukmė (išspręsta) -&gt; Laukas paslepiamas._x000D_
**** Resolution duration (Resolved)(LT "Sprendimo trukmė išspręsta")_x000D_
**** Atsakymas patvirtintas -&gt; Laukas paslepiamas._x000D_
**** Keičiama pozicija Sub-lentelės "Process Stage Duration (Totals)" atvaizduoti iškarto po sekcijos "SLA veiksmai"_x000D_
**** Keičiama pozicija Sub-lentelės "Process stage duration" atvaizduoti iškarto po sekcijos "Process Stage Duration(Totals)"_x000D_
**** Keičiama pozicija sekcijos "SLA KPI atvejai" atvaizduoti iškarto po sekcijos "Process stage duration"_x000D_
* Sukuriamas naujas whole number laukelis "Resolution duration (Resolved)"(LT "Sprendimo trukmė išspręsta") skirtas atvaizduoti visų suminių sla proceso etapų praleistą laiko sumą minutėmis_x000D_
** *(DEV)* Laukelyje atvaizduojama vertė lygi minutėms, o rezultatas susumuojamas iš *"Process stage duration (Totals)"* sukurtų įrašų konkrečiai užklausai._x000D_
_x000D_
* *"Process Stage Duration (Totals)"(PSD Totals) modulis:*_x000D_
* Keičiamas Case įraše rodomo "Process stage duration (Totals)" sekcijos rodinio *"Case PSD totals"* eiliškumo ir rikiavimo išdėstymas:_x000D_
** Rikiavimas nuo ilgiausio iki trumpiausio pagal 'Praleistų minučių' stulpelį_x000D_
** Stulpelių išdėstymas:_x000D_
*** Etapo pavadinimas_x000D_
*** Pakartojimai (naujas laukelis)_x000D_
*** Trukmė minutėmis_x000D_
*** Trukmė valandomis_x000D_
*** Trukmė dienomis_x000D_
* Sukuriamas naujas whole number laukelis "Stage Repetitions"(LT "Pakartojimai") skirtas užfiksuoti, kiek kartų buvo panaudotas etapas remiantis 'Process stage duration' įrašų sukūrimo kiekiu._x000D_
** *(DEV)* Sukuriamas workflow arba panaudojamas kodas atnaujinti Process Stage Duration(Totals) sukurtą įrašą užklausai kiekvieną kartą kai sukuriamas naujas 'Process stage duration' įrašas tiesiogiai susijęs su 'Process Stage Duration(totals)' įrašu._x000D_
** Sukuriama užklausa &gt; Aktyvuojasi BPF etapas &gt; Susikuria 'Stage duration' įrašas -&gt; Pereinama į kitą BPF etapą &gt; Susikuria naujas 'Stage duration įrašas' &gt; Sukuriamas Stage Duration(totals) įrašas prieš tai buvusiam 'Stage duration' įrašui &gt; į 'Stage duration(totals)' įraše esantį naują lauką įrašomas skaičius '1'_x000D_
** Jeigu eiga pasikartoja ir susikuria dar vienas to paties BPF etapo 'Stage duration' įrašas -&gt; 'Stage duration(totals)' įrašas atnaujinamas '+1'(1 &gt; 2) kai pakeičiamas dar kartą BPF etapas_x000D_
_x000D_
* *"Process Stage Duration" modulis"(Stage Duration):*_x000D_
* Keičiamas Case įraše rodomo "Process stage duration sekcijos rodinio " *"All Stage Duration"* eiliškumo ir rikiavimo išdėstymas:_x000D_
** Rikiavimas nuo naujausio iki seniausio pagal 'Actual Start' stulpelį_x000D_
** Stulpelių išdėstymas:_x000D_
*** Subject (Tema (naujas vertimas LT &gt; Etapo pavadinimas))_x000D_
*** Pradžia (actual start)_x000D_
*** Pabaiga (actual end)_x000D_
*** Trukmė minutėmis (Duration (minutes))_x000D_
*** Trukmė valandomis (Duration (hours))_x000D_
*** Trukmė dienomis (Duration (days))_x000D_
* Keičiamas 'Subject' lauko pavadinimas:_x000D_
** EN: Subject &gt; Stage Name_x000D_
** LT: Tema &gt; Etapo pavadinimas_x000D_
_x000D_
*Atliekami vertimai laukeliams:* _x000D_
* Resolution duration (Resolved) &gt; LT: "Sprendimo trukmė išspręsta"_x000D_
* Stage Repetitions &gt; LT: "Pakartojimai_x000D_
* Subject laukas:_x000D_
** EN: Subject &gt; Stage Name_x000D_
** LT: Tema &gt; Etapo pavadinimas</t>
        </is>
      </c>
      <c r="R12" s="1" t="n">
        <v>45918</v>
      </c>
      <c r="S12" s="1" t="n">
        <v>45968</v>
      </c>
      <c r="T12" t="n">
        <v>20</v>
      </c>
      <c r="U12" t="b">
        <v>0</v>
      </c>
      <c r="V12" t="n">
        <v>6</v>
      </c>
      <c r="W12" t="n">
        <v>6</v>
      </c>
      <c r="X12" t="n">
        <v>3</v>
      </c>
      <c r="Y12" t="n">
        <v>3</v>
      </c>
      <c r="Z12" t="inlineStr">
        <is>
          <t>[List]</t>
        </is>
      </c>
      <c r="AA12" t="inlineStr">
        <is>
          <t>2025-10-16T14:37:12Z</t>
        </is>
      </c>
      <c r="AC12" t="n">
        <v>99735</v>
      </c>
      <c r="AD12" t="inlineStr">
        <is>
          <t>FR3-SPRINT_1</t>
        </is>
      </c>
      <c r="AE12">
        <f>Merge1[[#This Row],[Column1.estimated_hours]] * ( Merge1[[#This Row],[Column1.done_ratio]] / 100 )</f>
        <v/>
      </c>
      <c r="AF12" s="11">
        <f>IF(Merge1[[#This Row],[Column1.spent_hours]]&gt;0, Merge1[[#This Row],[DE]]/Merge1[[#This Row],[Column1.spent_hours]], 0)</f>
        <v/>
      </c>
    </row>
    <row r="13">
      <c r="A13" t="n">
        <v>99716</v>
      </c>
      <c r="B13" t="n">
        <v>512</v>
      </c>
      <c r="C13" t="inlineStr">
        <is>
          <t>LG-D365 CRM Project</t>
        </is>
      </c>
      <c r="D13" t="n">
        <v>2</v>
      </c>
      <c r="E13" t="inlineStr">
        <is>
          <t>Feature</t>
        </is>
      </c>
      <c r="F13" t="n">
        <v>1</v>
      </c>
      <c r="G13" t="inlineStr">
        <is>
          <t>New</t>
        </is>
      </c>
      <c r="H13" t="b">
        <v>0</v>
      </c>
      <c r="I13" t="n">
        <v>4</v>
      </c>
      <c r="J13" t="inlineStr">
        <is>
          <t>Normal</t>
        </is>
      </c>
      <c r="K13" t="n">
        <v>875</v>
      </c>
      <c r="L13" t="inlineStr">
        <is>
          <t>VilMat</t>
        </is>
      </c>
      <c r="M13" t="n">
        <v>875</v>
      </c>
      <c r="N13" t="inlineStr">
        <is>
          <t>VilMat</t>
        </is>
      </c>
      <c r="O13" t="n">
        <v>96213</v>
      </c>
      <c r="P13" t="inlineStr">
        <is>
          <t>FR3-SPRINT_1-007 - Case &gt; Verslo proceso juostos modifikacijos pridedant naujus laukus, Case formos modifikacijos</t>
        </is>
      </c>
      <c r="Q13" t="inlineStr">
        <is>
          <t>h1. Poreikis:_x000D_
_x000D_
Užklausos proceso žingsniuose: _x000D_
Vidinė konsultacija_x000D_
Išorinė konsultacija_x000D_
Atsakingo asmens sprendimas_x000D_
Papildyti laukais, kuriuose žymimas asmuo arba komanda._x000D_
_x000D_
h1. Patvirtintas poreikis:_x000D_
_x000D_
Užklausos proceso žingsniuose papildyti laukais, kuriuose žymimas asmuo arba komanda._x000D_
Vidinė konsultacija_x000D_
Išorinė konsultacija_x000D_
Atsakingo asmens sprendimas_x000D_
_x000D_
*Užklausa &gt; Vidinė konsultacija*_x000D_
Papildyti nauju laukeliu Komanda konsultuoja - galima pasirinkti CRM esančią komandą._x000D_
Laukas neprivalomas._x000D_
Šis naujas laukelis atsiranda prieš Kolega konsultuoja._x000D_
Jeigu užpildomas laukas Komanda konsultuoja arba Kolega konsultuoja, tuomet atsiranda toks pats naujas laukas žemiau - Iki 5 laukelių._x000D_
_x000D_
*Užklausa &gt; Išorinė konsultacija*_x000D_
Padaryti galimybę  įvesti daugiau išorės konsultantų žymėjimų._x000D_
Jeigu užpildoma  Išorės konsultantas, Planuojama konsultanto atsakymo data, tai parodomi nauji  laukai - Išorės konsultantas, Išorės komentaras, Planuojama konsultanto atsakymo data. Darome 5 pakartojimus._x000D_
Privalomas pildymas yra tik pirmą kartą suvedant laukelius Išorės konsultantas, Planuojama konsultanto atsakymo data._x000D_
Išmesti pranešimą 'datos' laukeliui tuo atveju, jeigu "numatoma uždarymo data" lauke esanti data yra ankstesnė nei pasirinkta 'datos' lauke;_x000D_
_x000D_
*Užklausa &gt; Atsakingo asmens sprendimas*_x000D_
Padaryti galimybę  įvesti daugiau Atsakingo asmens sprendimas žymėjimų._x000D_
Jeigu užpildoma  Atsakingas asmuo, Atsakingo sprendimas, Atsakingo atsakymo data, tai parodomi nauji  laukai  - Atsakingas asmuo, Atsakingo sprendimas, Atsakingo atsakymo data. Darome 5 pakartojimus._x000D_
Privalomas pildyti tik pirmas._x000D_
Išmesti pranešimą 'datos' laukeliui tuo atveju, jeigu "numatoma uždarymo data" lauke esanti data yra ankstesnė nei pasirinkta 'datos' lauke;_x000D_
_x000D_
*Užduotis klientui:* _x000D_
Išmesti pranešimą 'datos' laukeliui tuo atveju, jeigu "numatoma uždarymo data" lauke esanti data yra ankstesnė nei pasirinkta 'datos' lauke;_x000D_
_x000D_
Sustabdyta:_x000D_
Išmesti pranešimą 'datos' laukeliui tuo atveju, jeigu "numatoma uždarymo data" lauke esanti data yra ankstesnė nei pasirinkta 'datos' lauke;_x000D_
_x000D_
Rengiamas atsakymas:_x000D_
Išmesti pranešimą 'datos' laukeliui tuo atveju, jeigu "numatoma uždarymo data" lauke esanti data yra ankstesnė nei pasirinkta 'datos' lauke;_x000D_
_x000D_
*Užklausa &gt; SLA*_x000D_
Case:_x000D_
*SLA skirtukas &gt; Nauja sekcija:*_x000D_
Nauja sekcija paskaičiavimams pavadinimu "Skaičiuoklė"_x000D_
Į sekciją perkelti: iš summary skirtuko 'Laiškų išsiųsta/gauta'(2laukai);_x000D_
Sukurti naują lauką atvaizduoti skaičių, kiek vartotojų priskirta 'Kolega konsultuoja' laukeliuose (vidinės konsultacijos BPF stage)_x000D_
Tas Pats galioja ir su 'Komanda konsultuoja'_x000D_
Sukurti naują lauką atvaizduoti skaičių, kiek vartotojų priskirta 'Išorės konsultantas' laukeliuose (išorinė konsultacija BPF stage)_x000D_
Sukurti naują lauką atvaizduoti skaičių, kiek vartotojų priskirta 'Atsakingas asmuo' laukeliuose (Atsakingo asmens sprendimas BPF stage)_x000D_
Papildomas laukas skirtas atvaizduoti, kiek viso sukurta užduočių per užklausą (nesvarbu atviros/uždarytos)_x000D_
_x000D_
h1. Atliekamos modifikacijos:_x000D_
_x000D_
*&lt;pre&gt;_x000D_
Modifikacijų sprendinio šaltinis: LTG_CRM - #96210 FR3-SPRINT1 System Customizations_x000D_
&lt;/pre&gt;*_x000D_
_x000D_
*Sisteminės vietos:*_x000D_
* Užklausų(case) modulyje;_x000D_
* Užklausų verslo proceso juostoje(BPF);_x000D_
* Sistemos vertimuose;_x000D_
_x000D_
*Užklausos forma (Case):*_x000D_
Skyrius "SLA":_x000D_
* Sukuriama nauja sekcija Calculations(LT 'Skaičiuoklė'). _x000D_
* Perkeliami į sekciją laiškų skaičiavimo laukeliai (Summary &gt; Sent Emails, Received Emails)_x000D_
* Perkeliami į sekciją žemiau išvardinti nauji laukeliai:_x000D_
** Sukuriamas naujas whole number tipo laukas *"Internal Consultant Reassignments"(LT "Kolega konsultuoja perskyrimai")* atvaizduoti skaičių, kiek vartotojų priskirta 'Kolega konsultuoja'(Internal Consultant) laukeliuose (vidinės konsultacijos BPF stage)_x000D_
** Sukuriamas naujas whole number tipo laukas *"Internal Team Reassignments"(LT "Komanda konsultuoja perskyrimai")* atvaizduoti skaičių, kiek komandų priskirta 'Komanda konsultuoja'(Internal Team Support) laukeliuose (vidinės konsultacijos BPF stage)_x000D_
** Sukuriamas naujas whole number tipo laukas *"External Consultant Reassignments"(LT "Išorės konsultanto perskyrimai")"* atvaizduoti skaičių, kiek vartotojų priskirta 'Išorės konsultantas'(responsiblecontactid) laukeliuose (išorinė konsultacija BPF stage)_x000D_
** Sukuriamas naujas laukas *"Responsible Person Reassignments(LT "Atsakingo asmens perskyrimai")"* atvaizduoti skaičių, kiek vartotojų priskirta 'Atsakingas asmuo'(Responsible Person(goerp_responsibleuser)) laukeliuose (Atsakingo asmens sprendimas BPF stage)_x000D_
** Sukuriamas naujas whole number tipo laukas *"Total Tasks Created(LT "Viso sukurta užduočių")"* skirtas atvaizduoti, kiek viso sukurta užduočių per užklausą (nesvarbu atviros/uždarytos)_x000D_
** *(DEV)* Sukuriamas workflow/plugin skirtas skaičiuoti ir atnaujinti laukelio "Total Tasks Created" vertę kiekvieną kartą kai sukuriama nauja užduotis(Task), kuri surišta su užklausos(Case) įrašu_x000D_
_x000D_
*Proceso žingsnis 'Vidinė konsultacija'(Internal Communication):*_x000D_
* 5vnt naujų lookup tipo laukelių *"Internal Team Support"(LT "Komanda konsultuoja")* leidžiančių pasirinkti komandą (team). Laukai neprivalomi._x000D_
* 4vnt naujų lookup tipo laukelių *"Internal Consultant"(LT "Kolega konsultuoja")* leidžiančių pasirinkti vartotoją (user). Laukai neprivalomi._x000D_
* Sukuriamos *verslo taisyklės* , kurios valdo, kada atvaizduoti laukelius komanda 2,3,4,5/kolega 2,3,4,5_x000D_
* Jeigu užpildomas pirmas komanda arba kolega laukelis, tuomet sistema atvaizduoja antrą porą kolega/komanda laukelių._x000D_
* Jeigu užpildomas antras komanda arba kolega laukelis, tuomet sistema atvaizduoja trečią porą kolega/komanda laukelių._x000D_
* Toks atvaizdavimo būdas sukuriamas iki atvaizduojama penkta pora laukelių komanda/kolega._x000D_
_x000D_
*Proceso žingsnis 'Išorės konsultacija'(Outsource Communication):*_x000D_
* 4vnt. naujų lookup tipo laukelių *"External Consultant Support"(LT "Išorės konsultantas")* leidžiančių pasirinkti vartotoją(user). Laukeliai neprivalomi._x000D_
* 4vnt. naujų tekstinių(multi-line text) laukelių *"External Consultant Comments"(LT "Išorės komentaras")* leidžiančių įrašyti komentarą (išorės komentaras). Laukeliai neprivalomi._x000D_
* 4vnt. naujų datos(date only) laukelių *"Estimated External Consultant Response Date"(LT "Planuojama konsultanto atsakymo data")* leidžiančių pasirinkti norimą datą(numatoma uždarymo data). Laukeliai neprivalomi. Atvaizduojamas pasirinkimas - tik data._x000D_
* Sukuriamos *verslo taisyklės* , kurios valdo, kada atvaizduoti laukelius 'išorės konsultantas2,3,4,5/išorės komentaras2,3,4,5/Planuojama konsultanto atsakymo data2,3,4,5';_x000D_
* Jeigu užpildomi pirmi du laukeliai 'Išorės konsultantas' ir 'Planuojama konsultanto atsakymo data', tai sistemos verslo taisyklė parodo sekantį laukų trio;_x000D_
* Toks atvaizdavimo būdas sukuriamas iki atvaizduojamas penktas laukelių trio('išorės konsultantas/išorės komentaras/Planuojama konsultanto atsakymo data')_x000D_
_x000D_
*Proceso žingsnis 'Atsakingo asmens sprendimas'(Responsible User Decision):*_x000D_
* 4vnt. naujų lookup tipo laukelių *"Responsible User (LT "Atsakingas asmuo")"* leidžiančių pasirinkti vartotoją (user). Laukeliai neprivalomi._x000D_
* 4vnt. naujų tekstinių(multi-line text) laukelių *"Responsible User Decision (LT "Atsakingo sprendimas")"* leidžiančių įrašyti komentarą(atsakingo sprendimas). Laukeliai neprivalomi._x000D_
* 4vnt. naujų datos(date only) laukelių *"Responsible User Response Date (LT "Atsakingo atsakymo data")"* leidžiančių pasirinkti norimą datą(atsakingo atsakymo data). Laukeliai neprivalomi. Atvaizduojamas pasirinkimas - tik data._x000D_
* Sukuriamos *verslo taisyklės* , kurios valdo, kada atvaizduoti laukelius 'Atsakingas asmuo2/3/4/5, Atsakingo sprendimas2/3/4/5, Atsakingo atsakymo data2/3/4/5'._x000D_
* Jeigu užpildomi pirmi trys laukai 'Atsakingas asmuo, Atsakingo sprendimas, Atsakingo atsakymo data', tai sistemos verslo taisyklė parodo sekantį laukų trio;_x000D_
* Toks atvaizdavimo būdas sukuriamas iki atvaizduojamas penktas laukelių trio('Atsakingas asmuo, Atsakingo sprendimas, Atsakingo atsakymo data')_x000D_
_x000D_
*Kitos verslo taisyklės:*_x000D_
* Rodyti pranešimą, jeigu 'uždarymo data' laukelyje esanti data yra senesnė nei pasirinkta apibrėžtame lauke._x000D_
** Pranešimo tekstas kopijuojamas nuo jau sukurto 'Estimated Consultant Response Date' laukelio verslo taisyklės._x000D_
** Verslo taisyklėmis apibrėžiami laukai:_x000D_
*** 4vnt. Planuojama konsultanto atsakymo data ("Estimated External Consultant Response Date") (BPF: Outsource Communication)_x000D_
*** 4vnt. Atsakingo atsakymo data ("Responsible User Response Date") (BPF: Responsible User Decision)_x000D_
*** 1vnt. Customer Response Date (BPF: Task to Customer)_x000D_
*** 1vnt. On Hold Expiry Date (BPF: On Hold)_x000D_
*** 1vnt. Planned Preparation Date (BPF: Preparing Answer)_x000D_
_x000D_
*Vertimai:*_x000D_
* Atliekami vertimai į lietuvių kalbą sistemoje naujai sukurtiems laukams.</t>
        </is>
      </c>
      <c r="R13" s="1" t="n">
        <v>45918</v>
      </c>
      <c r="S13" s="1" t="n">
        <v>45968</v>
      </c>
      <c r="T13" t="n">
        <v>20</v>
      </c>
      <c r="U13" t="b">
        <v>0</v>
      </c>
      <c r="V13" t="n">
        <v>22.5</v>
      </c>
      <c r="W13" t="n">
        <v>22.5</v>
      </c>
      <c r="X13" t="n">
        <v>10.5</v>
      </c>
      <c r="Y13" t="n">
        <v>10.5</v>
      </c>
      <c r="Z13" t="inlineStr">
        <is>
          <t>[List]</t>
        </is>
      </c>
      <c r="AA13" t="inlineStr">
        <is>
          <t>2025-10-16T13:17:59Z</t>
        </is>
      </c>
      <c r="AC13" t="n">
        <v>99716</v>
      </c>
      <c r="AD13" t="inlineStr">
        <is>
          <t>FR3-SPRINT_1</t>
        </is>
      </c>
      <c r="AE13">
        <f>Merge1[[#This Row],[Column1.estimated_hours]] * ( Merge1[[#This Row],[Column1.done_ratio]] / 100 )</f>
        <v/>
      </c>
      <c r="AF13" s="11">
        <f>IF(Merge1[[#This Row],[Column1.spent_hours]]&gt;0, Merge1[[#This Row],[DE]]/Merge1[[#This Row],[Column1.spent_hours]], 0)</f>
        <v/>
      </c>
    </row>
    <row r="14">
      <c r="A14" t="n">
        <v>96243</v>
      </c>
      <c r="B14" t="n">
        <v>512</v>
      </c>
      <c r="C14" t="inlineStr">
        <is>
          <t>LG-D365 CRM Project</t>
        </is>
      </c>
      <c r="D14" t="n">
        <v>2</v>
      </c>
      <c r="E14" t="inlineStr">
        <is>
          <t>Feature</t>
        </is>
      </c>
      <c r="F14" t="n">
        <v>9</v>
      </c>
      <c r="G14" t="inlineStr">
        <is>
          <t>Ready for testing</t>
        </is>
      </c>
      <c r="H14" t="b">
        <v>0</v>
      </c>
      <c r="I14" t="n">
        <v>4</v>
      </c>
      <c r="J14" t="inlineStr">
        <is>
          <t>Normal</t>
        </is>
      </c>
      <c r="K14" t="n">
        <v>875</v>
      </c>
      <c r="L14" t="inlineStr">
        <is>
          <t>VilMat</t>
        </is>
      </c>
      <c r="M14" t="n">
        <v>875</v>
      </c>
      <c r="N14" t="inlineStr">
        <is>
          <t>VilMat</t>
        </is>
      </c>
      <c r="O14" t="n">
        <v>96214</v>
      </c>
      <c r="P14" t="inlineStr">
        <is>
          <t>FR3-SPRINT_1-006 - Queue Items/Queues - Force refresh rodinio sąrašą su custom kodu</t>
        </is>
      </c>
      <c r="Q14" t="inlineStr">
        <is>
          <t>h1. Poreikis:_x000D_
_x000D_
Į CRM laiškai sukrenta tik kas kažkiek laiko, jei nori, kad greičiau, tai turi maigyti mygtuką "Atnaujinti"_x000D_
Sutrumpinti sistemos automatinį atnaujinimo laiką, kad nereikėtų rankiniu būdu spaudyti atnaujinti. Per bandymą nespaudėme atnaujinti ir laiškas neįkrito automatiškai į CRM per 6min. (negalėjome ilgai laukti, nes laiškas buvo operatyvus) _x000D_
_x000D_
h1. Patvirtintas poreikis:_x000D_
_x000D_
Atnaujinti eilių rodinius kas minutę._x000D_
_x000D_
h1. Atliekamos modifikacijos:_x000D_
_x000D_
*&lt;pre&gt;_x000D_
Modifikacijų sprendinio šaltinis: LTG_CRM - #96210 FR3-SPRINT1 System Customizations_x000D_
&lt;/pre&gt;*_x000D_
_x000D_
Galimybės atnaujinti lentelę(sub-grid), kas 'x' laiko intervalais(rekomenduotina nedažniau nei 30sek.) yra, tačiau tai turi savo neigiamą pusę: Jeigu vartotojas praskleis sąrašą žemyn ar pereis į kitą puslapį, po automatinio atnaujinimo sąrašas grįš į pradinę būseną ir vartotojas vėl turės 30s langą peržiūrėti įrašus. Esant didesnėms apimtims tai kritinis trūkumas peržiūrint įrašus. _x000D_
_x000D_
* Atnaujinti 'Queue Items' modulio rodinių langą "x" intervalais (force refresh)_x000D_
&gt; * User modulyje sukuriamas naujas laukas, kuriame galima nusirodyti, kokiu intervalu nori vartotojas, kad atsinaujintų rodinys._x000D_
&gt; * Naujame laukelyje, numatyta tvarka, kliento nurodytiems vartotojams, nustatomas standartinis 60s intervalas._x000D_
&gt; * Sukuriamas papildomas workflow, kuris suveikia, kai sukuriamas naujas 'User' ir tam vartotojui nustato standartinį intervalą į 60s. _x000D_
* Atnaujinti 'Queue' modulio formoje esantį 'Queue Items' sub-grid'ą 60sekundžių intervalais_x000D_
_x000D_
**Nesant galimybei tiesiogiai atnaujinti per 'Queue Items' modulį bus teikiama rekomendacija sukurti naują specializuotą rodinį 'Queue' modulyje, kuris būtų kaip numatytasis, o jį pasirinkus atvaizduotų tik aktyvias eiles. Papildomai būtų sukurta nauja 'Queue' pagrindinė forma, kuria naudotūsi darbuotojai dirbant su eilėmis. Forma būtų orientuota tiesiogiai į eilės įrašus.</t>
        </is>
      </c>
      <c r="R14" s="1" t="n">
        <v>45918</v>
      </c>
      <c r="S14" s="1" t="n">
        <v>45968</v>
      </c>
      <c r="T14" t="n">
        <v>70</v>
      </c>
      <c r="U14" t="b">
        <v>0</v>
      </c>
      <c r="V14" t="n">
        <v>20</v>
      </c>
      <c r="W14" t="n">
        <v>20</v>
      </c>
      <c r="X14" t="n">
        <v>18</v>
      </c>
      <c r="Y14" t="n">
        <v>18</v>
      </c>
      <c r="Z14" t="inlineStr">
        <is>
          <t>[List]</t>
        </is>
      </c>
      <c r="AA14" t="inlineStr">
        <is>
          <t>2025-09-19T14:18:58Z</t>
        </is>
      </c>
      <c r="AC14" t="n">
        <v>96243</v>
      </c>
      <c r="AD14" t="inlineStr">
        <is>
          <t>FR3-SPRINT_1</t>
        </is>
      </c>
      <c r="AE14">
        <f>Merge1[[#This Row],[Column1.estimated_hours]] * ( Merge1[[#This Row],[Column1.done_ratio]] / 100 )</f>
        <v/>
      </c>
      <c r="AF14" s="11">
        <f>IF(Merge1[[#This Row],[Column1.spent_hours]]&gt;0, Merge1[[#This Row],[DE]]/Merge1[[#This Row],[Column1.spent_hours]], 0)</f>
        <v/>
      </c>
    </row>
    <row r="15">
      <c r="A15" t="n">
        <v>96242</v>
      </c>
      <c r="B15" t="n">
        <v>512</v>
      </c>
      <c r="C15" t="inlineStr">
        <is>
          <t>LG-D365 CRM Project</t>
        </is>
      </c>
      <c r="D15" t="n">
        <v>2</v>
      </c>
      <c r="E15" t="inlineStr">
        <is>
          <t>Feature</t>
        </is>
      </c>
      <c r="F15" t="n">
        <v>9</v>
      </c>
      <c r="G15" t="inlineStr">
        <is>
          <t>Ready for testing</t>
        </is>
      </c>
      <c r="H15" t="b">
        <v>0</v>
      </c>
      <c r="I15" t="n">
        <v>4</v>
      </c>
      <c r="J15" t="inlineStr">
        <is>
          <t>Normal</t>
        </is>
      </c>
      <c r="K15" t="n">
        <v>875</v>
      </c>
      <c r="L15" t="inlineStr">
        <is>
          <t>VilMat</t>
        </is>
      </c>
      <c r="M15" t="n">
        <v>875</v>
      </c>
      <c r="N15" t="inlineStr">
        <is>
          <t>VilMat</t>
        </is>
      </c>
      <c r="O15" t="n">
        <v>96214</v>
      </c>
      <c r="P15" t="inlineStr">
        <is>
          <t>FR3-SPRINT_1-005 - Queue Items &gt;'Convert To Case' mygtuko pridėjimas</t>
        </is>
      </c>
      <c r="Q15" t="inlineStr">
        <is>
          <t xml:space="preserve">h1. Poreikis:_x000D_
_x000D_
Iš benrdo sąrašo eilės negali kurti užklausos neužėjus į vidų._x000D_
Reikia papildomo pasirinkimo užklausai sukurti neužeinant į eilės vidų, tik pažymėjus laišką._x000D_
_x000D_
Eglė klausimas: ar liktų ir galimybė konvertuoti kai laiškas yra atidarytas?_x000D_
GO-ERP komentaras (Versija 3):_x000D_
&gt; Taip, tai būtų tik papildinys, kuris taptų prieinamas iš bendro modulio rodinio per funkcinę juostą._x000D_
_x000D_
h1. Patvirtintas poreikis:_x000D_
_x000D_
* Konvertuoti į užklausą galima neatsidarius laiško, tik pažymėjus._x000D_
* Veikia, kai pažymimas vienas laiškas. Pasiekiamas per funkcinę juosta. Vieta (pridėtas pav.) tarp rodyti diagramą ir redaguoti_x000D_
* Konvertavimas iš atidaryto laiško lieka._x000D_
* Konvertavimo langas toks pats kaip atidarius laišką._x000D_
!clipboard-202509191628-jn9rl.png!_x000D_
_x000D_
h1. Atliekamos modifikacijos:_x000D_
_x000D_
*&lt;pre&gt;_x000D_
Modifikacijų sprendinio šaltinis: LTG_CRM - #96210 FR3-SPRINT1 System Customizations_x000D_
&lt;/pre&gt;*_x000D_
_x000D_
* Pridedamas mygtukas į "Queue Items" modulio rodinių langą tarp mygtukų 'Show Chart' ir 'Edit'_x000D_
&gt; Mygtukas matomas tik tada kai pasirenkamas '1' įrašas_x000D_
&gt; Nepasirinkus nė vieno įrašo - nerodomas_x000D_
&gt; Pasirinkus daugiau nei vieną įrašą - mygtukas paslepiamas_x000D_
</t>
        </is>
      </c>
      <c r="R15" s="1" t="n">
        <v>45954</v>
      </c>
      <c r="S15" s="1" t="n">
        <v>45968</v>
      </c>
      <c r="T15" t="n">
        <v>20</v>
      </c>
      <c r="U15" t="b">
        <v>0</v>
      </c>
      <c r="V15" t="n">
        <v>3</v>
      </c>
      <c r="W15" t="n">
        <v>3</v>
      </c>
      <c r="X15" t="n">
        <v>5</v>
      </c>
      <c r="Y15" t="n">
        <v>5</v>
      </c>
      <c r="Z15" t="inlineStr">
        <is>
          <t>[List]</t>
        </is>
      </c>
      <c r="AA15" t="inlineStr">
        <is>
          <t>2025-09-19T13:44:12Z</t>
        </is>
      </c>
      <c r="AC15" t="n">
        <v>96242</v>
      </c>
      <c r="AD15" t="inlineStr">
        <is>
          <t>FR3-SPRINT_1</t>
        </is>
      </c>
      <c r="AE15">
        <f>Merge1[[#This Row],[Column1.estimated_hours]] * ( Merge1[[#This Row],[Column1.done_ratio]] / 100 )</f>
        <v/>
      </c>
      <c r="AF15" s="11">
        <f>IF(Merge1[[#This Row],[Column1.spent_hours]]&gt;0, Merge1[[#This Row],[DE]]/Merge1[[#This Row],[Column1.spent_hours]], 0)</f>
        <v/>
      </c>
    </row>
    <row r="16">
      <c r="A16" t="n">
        <v>96239</v>
      </c>
      <c r="B16" t="n">
        <v>512</v>
      </c>
      <c r="C16" t="inlineStr">
        <is>
          <t>LG-D365 CRM Project</t>
        </is>
      </c>
      <c r="D16" t="n">
        <v>2</v>
      </c>
      <c r="E16" t="inlineStr">
        <is>
          <t>Feature</t>
        </is>
      </c>
      <c r="F16" t="n">
        <v>9</v>
      </c>
      <c r="G16" t="inlineStr">
        <is>
          <t>Ready for testing</t>
        </is>
      </c>
      <c r="H16" t="b">
        <v>0</v>
      </c>
      <c r="I16" t="n">
        <v>4</v>
      </c>
      <c r="J16" t="inlineStr">
        <is>
          <t>Normal</t>
        </is>
      </c>
      <c r="K16" t="n">
        <v>875</v>
      </c>
      <c r="L16" t="inlineStr">
        <is>
          <t>VilMat</t>
        </is>
      </c>
      <c r="M16" t="n">
        <v>875</v>
      </c>
      <c r="N16" t="inlineStr">
        <is>
          <t>VilMat</t>
        </is>
      </c>
      <c r="O16" t="n">
        <v>96237</v>
      </c>
      <c r="P16" t="inlineStr">
        <is>
          <t>FR3-SPRINT_1-004 - Accounts &gt; Atsakingų asmenų pasirinkimų praplėtimas</t>
        </is>
      </c>
      <c r="Q16" t="inlineStr">
        <is>
          <t xml:space="preserve">h1. Poreikis:_x000D_
_x000D_
Prie kliento kortelės įtraukti papildomą  atsakingą sritį: Turi būti Pardavimai, Aptarnavimas, Užsakymai, Sutartys, Atsiskaitymai. _x000D_
Pervadinti: Atsakingas asmuo/komanda į Pardavimai_x000D_
Kuriamas naujas pavadinimu Aptarnavimas_x000D_
Užsakymų vadybininkas keičiamas į Užsakymai_x000D_
Papildomų paslaugų sutarčių vadybininkas keičiamas į  Sutartys_x000D_
Atsiskaitymų vadybininkas keičiamas į  Atsiskaitymai_x000D_
_x000D_
Rodinyje Mano aktyvieji klientai analogiškai pritaikyti naujų laukų reikšmes kaip paveikslėlyje. Filtras turėtų atvaizduoti bet kuriame iš naujų laukų esančio vartotojo klientus._x000D_
_x000D_
h1. Patvirtintas poreikis:_x000D_
_x000D_
Prie kliento kortelės įtraukti papildomą  atsakingą sritį: Aptarnavimas_x000D_
Eiliškumas ir pavadinimai:_x000D_
Pardavimai_x000D_
Aptarnavimas _x000D_
Užsakymai_x000D_
Sutartys_x000D_
Atsiskaitymai. _x000D_
Rodinyje Mano aktyvieji klientai analogiškai pritaikyti naujų laukų reikšmes kaip paveikslėlyje. Filtras turėtų atvaizduoti bet kuriame iš naujų laukų esančio vartotojo klientus._x000D_
Rodinyje galimybė įsitraukti numatytus stulpelius_x000D_
!clipboard-202509191601-4dhzx.png!_x000D_
!clipboard-202509191607-9zpe1.png!_x000D_
_x000D_
h1. Atliekamos modifikacijos:_x000D_
_x000D_
*&lt;pre&gt;_x000D_
Modifikacijų sprendinio šaltinis: LTG_CRM - #96210 FR3-SPRINT1 System Customizations_x000D_
&lt;/pre&gt;*_x000D_
_x000D_
* Account modulyje sukuriamas naujas lookup tipo laukelis 'Customer Service'(LT.'Aptarnavimas')_x000D_
&gt;&gt; Laukas žvelgia į vartotojų modulį._x000D_
&gt;&gt; Laukas patalpinamas į Account pagrindinėje formoje esančią greitosios informacijos zoną._x000D_
* 'My Active Accounts'(mano aktyvieji klientai) sisteminiame rodinyje pritaikomi specialieji filtrai:_x000D_
&gt;&gt; Filtruoti pagal esamą vartotoją(pagal tą kuris peržiūri) nurodyta eilės tvarka šiuos laukelius:_x000D_
&gt;&gt; Pardavimai_x000D_
&gt;&gt; Aptarnavimas _x000D_
&gt;&gt; Užsakymai_x000D_
&gt;&gt; Sutartys_x000D_
&gt;&gt; Atsiskaitymai_x000D_
&gt;&gt; Rezultatas: Filtras turėtų atvaizduoti bet kuriame iš naujų laukų esančio vartotojo klientus._x000D_
_x000D_
*Apribojimai:*_x000D_
* Pridėjus į viršutinę greitosios informacijos pateikimo juostą - nesimatys, kol nebus praskleista su dešinėje esančia rodykle. Sistemos lubos riboja atvaizduoti iki 4-ių pateikčių. _x000D_
* Eglės Klausimas - kas šioje dalyje matysis, ar pirmi keturi ir norint matyti daugiau reikės praskleisti, ar kitas vaizdas?_x000D_
&gt;&gt; GO-ERP komentaras (Versija 3):_x000D_
&gt;&gt; Formoje, nepraskleidus pasirinkimo, būtų matomi pirmi 4 laukeliai._x000D_
&gt;&gt; Norint pamatyti daugiau, būtų reikalinga praskleisti panaudojant minėtą rodyklę._x000D_
_x000D_
</t>
        </is>
      </c>
      <c r="R16" s="1" t="n">
        <v>45918</v>
      </c>
      <c r="S16" s="1" t="n">
        <v>45968</v>
      </c>
      <c r="T16" t="n">
        <v>50</v>
      </c>
      <c r="U16" t="b">
        <v>0</v>
      </c>
      <c r="V16" t="n">
        <v>5</v>
      </c>
      <c r="W16" t="n">
        <v>5</v>
      </c>
      <c r="X16" t="n">
        <v>3</v>
      </c>
      <c r="Y16" t="n">
        <v>3</v>
      </c>
      <c r="Z16" t="inlineStr">
        <is>
          <t>[List]</t>
        </is>
      </c>
      <c r="AA16" t="inlineStr">
        <is>
          <t>2025-09-19T13:19:09Z</t>
        </is>
      </c>
      <c r="AC16" t="n">
        <v>96239</v>
      </c>
      <c r="AD16" t="inlineStr">
        <is>
          <t>FR3-SPRINT_1</t>
        </is>
      </c>
      <c r="AE16">
        <f>Merge1[[#This Row],[Column1.estimated_hours]] * ( Merge1[[#This Row],[Column1.done_ratio]] / 100 )</f>
        <v/>
      </c>
      <c r="AF16" s="11">
        <f>IF(Merge1[[#This Row],[Column1.spent_hours]]&gt;0, Merge1[[#This Row],[DE]]/Merge1[[#This Row],[Column1.spent_hours]], 0)</f>
        <v/>
      </c>
    </row>
    <row r="17">
      <c r="A17" t="n">
        <v>96237</v>
      </c>
      <c r="B17" t="n">
        <v>512</v>
      </c>
      <c r="C17" t="inlineStr">
        <is>
          <t>LG-D365 CRM Project</t>
        </is>
      </c>
      <c r="D17" t="n">
        <v>2</v>
      </c>
      <c r="E17" t="inlineStr">
        <is>
          <t>Feature</t>
        </is>
      </c>
      <c r="F17" t="n">
        <v>2</v>
      </c>
      <c r="G17" t="inlineStr">
        <is>
          <t>In Progress</t>
        </is>
      </c>
      <c r="H17" t="b">
        <v>0</v>
      </c>
      <c r="I17" t="n">
        <v>4</v>
      </c>
      <c r="J17" t="inlineStr">
        <is>
          <t>Normal</t>
        </is>
      </c>
      <c r="K17" t="n">
        <v>875</v>
      </c>
      <c r="L17" t="inlineStr">
        <is>
          <t>VilMat</t>
        </is>
      </c>
      <c r="M17" t="n">
        <v>875</v>
      </c>
      <c r="N17" t="inlineStr">
        <is>
          <t>VilMat</t>
        </is>
      </c>
      <c r="O17" t="n">
        <v>96210</v>
      </c>
      <c r="P17" t="inlineStr">
        <is>
          <t>FR3-SPRINT_1-000 - Accounts (Klientai)</t>
        </is>
      </c>
      <c r="Q17" t="inlineStr">
        <is>
          <t>*Modulio apimtyje atliekami su klientu pasitvirtinti pirmo prioriteto darbai*_x000D_
_x000D_
&lt;pre&gt;_x000D_
Darbai atliekami sprendinyje pavadinimu: LTG_CRM - #96210 FR3-SPRINT1 System Customizations_x000D_
&lt;/pre&gt;</t>
        </is>
      </c>
      <c r="R17" s="1" t="n">
        <v>45918</v>
      </c>
      <c r="S17" s="1" t="n">
        <v>45968</v>
      </c>
      <c r="T17" t="n">
        <v>50</v>
      </c>
      <c r="U17" t="b">
        <v>0</v>
      </c>
      <c r="W17" t="n">
        <v>5</v>
      </c>
      <c r="X17" t="n">
        <v>0</v>
      </c>
      <c r="Y17" t="n">
        <v>3</v>
      </c>
      <c r="Z17" t="inlineStr">
        <is>
          <t>[List]</t>
        </is>
      </c>
      <c r="AA17" t="inlineStr">
        <is>
          <t>2025-09-19T12:57:00Z</t>
        </is>
      </c>
      <c r="AC17" t="n">
        <v>96237</v>
      </c>
      <c r="AE17">
        <f>Merge1[[#This Row],[Column1.estimated_hours]] * ( Merge1[[#This Row],[Column1.done_ratio]] / 100 )</f>
        <v/>
      </c>
      <c r="AF17">
        <f>IF(Merge1[[#This Row],[Column1.spent_hours]]&gt;0, Merge1[[#This Row],[DE]]/Merge1[[#This Row],[Column1.spent_hours]], 0)</f>
        <v/>
      </c>
    </row>
    <row r="18">
      <c r="A18" t="n">
        <v>96235</v>
      </c>
      <c r="B18" t="n">
        <v>512</v>
      </c>
      <c r="C18" t="inlineStr">
        <is>
          <t>LG-D365 CRM Project</t>
        </is>
      </c>
      <c r="D18" t="n">
        <v>2</v>
      </c>
      <c r="E18" t="inlineStr">
        <is>
          <t>Feature</t>
        </is>
      </c>
      <c r="F18" t="n">
        <v>9</v>
      </c>
      <c r="G18" t="inlineStr">
        <is>
          <t>Ready for testing</t>
        </is>
      </c>
      <c r="H18" t="b">
        <v>0</v>
      </c>
      <c r="I18" t="n">
        <v>4</v>
      </c>
      <c r="J18" t="inlineStr">
        <is>
          <t>Normal</t>
        </is>
      </c>
      <c r="K18" t="n">
        <v>875</v>
      </c>
      <c r="L18" t="inlineStr">
        <is>
          <t>VilMat</t>
        </is>
      </c>
      <c r="M18" t="n">
        <v>875</v>
      </c>
      <c r="N18" t="inlineStr">
        <is>
          <t>VilMat</t>
        </is>
      </c>
      <c r="O18" t="n">
        <v>96213</v>
      </c>
      <c r="P18" t="inlineStr">
        <is>
          <t>FR3-SPRINT_1-003 - Case &gt; Timeline &gt; Notes: Padidinti 'Description' simbolių skaičių iki maksimumo</t>
        </is>
      </c>
      <c r="Q18" t="inlineStr">
        <is>
          <t xml:space="preserve">h1. Poreikis:_x000D_
_x000D_
Laiko juostoje esančioje pastabų dalyje padidinti Aprašymo lauką iki maksimalaus leistinų simbolių kiekio_x000D_
_x000D_
h1. Patvirtintas poreikis:_x000D_
_x000D_
Nustatytati Laiko juostoje esančioje pasatabų dalyje padidinti Aprašymo lauką padidinti iki maksimalaus leistinų simobilių kiekio_x000D_
_x000D_
h1. Atliekamos modifikacijos:_x000D_
_x000D_
*&lt;pre&gt;_x000D_
Modifikacijų sprendinio šaltinis: LTG_CRM - #96210 FR3-SPRINT1 System Customizations_x000D_
&lt;/pre&gt;*_x000D_
_x000D_
Notes(Pastabų) įrašai:_x000D_
* Subject(Temos) laukelis: Draudžiami padidinti. Nustatytas maksimalus leistinas simbolių kiekis - 500_x000D_
* Description(Aprašymo) laukelis: Nustatomas maksimalus leistinas simbolių kiekis - 1073741823; Šiuo metu nustatytas: 100000_x000D_
</t>
        </is>
      </c>
      <c r="R18" s="1" t="n">
        <v>45918</v>
      </c>
      <c r="S18" s="1" t="n">
        <v>45968</v>
      </c>
      <c r="T18" t="n">
        <v>30</v>
      </c>
      <c r="U18" t="b">
        <v>0</v>
      </c>
      <c r="V18" t="n">
        <v>1</v>
      </c>
      <c r="W18" t="n">
        <v>1</v>
      </c>
      <c r="X18" t="n">
        <v>1.5</v>
      </c>
      <c r="Y18" t="n">
        <v>1.5</v>
      </c>
      <c r="Z18" t="inlineStr">
        <is>
          <t>[List]</t>
        </is>
      </c>
      <c r="AA18" t="inlineStr">
        <is>
          <t>2025-09-19T12:52:12Z</t>
        </is>
      </c>
      <c r="AC18" t="n">
        <v>96235</v>
      </c>
      <c r="AD18" t="inlineStr">
        <is>
          <t>FR3-SPRINT_1</t>
        </is>
      </c>
      <c r="AE18">
        <f>Merge1[[#This Row],[Column1.estimated_hours]] * ( Merge1[[#This Row],[Column1.done_ratio]] / 100 )</f>
        <v/>
      </c>
      <c r="AF18" s="11">
        <f>IF(Merge1[[#This Row],[Column1.spent_hours]]&gt;0, Merge1[[#This Row],[DE]]/Merge1[[#This Row],[Column1.spent_hours]], 0)</f>
        <v/>
      </c>
    </row>
    <row r="19">
      <c r="A19" t="n">
        <v>96220</v>
      </c>
      <c r="B19" t="n">
        <v>512</v>
      </c>
      <c r="C19" t="inlineStr">
        <is>
          <t>LG-D365 CRM Project</t>
        </is>
      </c>
      <c r="D19" t="n">
        <v>2</v>
      </c>
      <c r="E19" t="inlineStr">
        <is>
          <t>Feature</t>
        </is>
      </c>
      <c r="F19" t="n">
        <v>9</v>
      </c>
      <c r="G19" t="inlineStr">
        <is>
          <t>Ready for testing</t>
        </is>
      </c>
      <c r="H19" t="b">
        <v>0</v>
      </c>
      <c r="I19" t="n">
        <v>4</v>
      </c>
      <c r="J19" t="inlineStr">
        <is>
          <t>Normal</t>
        </is>
      </c>
      <c r="K19" t="n">
        <v>875</v>
      </c>
      <c r="L19" t="inlineStr">
        <is>
          <t>VilMat</t>
        </is>
      </c>
      <c r="M19" t="n">
        <v>875</v>
      </c>
      <c r="N19" t="inlineStr">
        <is>
          <t>VilMat</t>
        </is>
      </c>
      <c r="O19" t="n">
        <v>96215</v>
      </c>
      <c r="P19" t="inlineStr">
        <is>
          <t>FR3-SPRINT_1-002 - Automatiškai uždedamo el.pašto adreso į juodraštinį el.laišką modifikacija</t>
        </is>
      </c>
      <c r="Q19" t="inlineStr">
        <is>
          <t xml:space="preserve">h1. Poreikis:_x000D_
_x000D_
Kiekvieną kartą rašant atsakant į laišką reikia rankiniu būdu pakeisti iš asmeninės į bendrinę pašto dėžutę. Padaryti, kad nuskaitytų kokiai komandai priklauso ir taikytų komandos (veikos) el. paštą_x000D_
_x000D_
h1. Patvirtintas poreikis:_x000D_
_x000D_
Redaguotų automatinis el. pašto parinkimas laiško išsiuntimui nuo vartotojo._x000D_
Darome dviejų pasiūlytų variantų hibridą - pašto dėžutės pavadinimas nurodomas vartotojo kortelėje. Kada spaudžiama reply, vartotojui suveikia OnLoad funkcija ir uždedama nurodyta pašto dėžutė į laiško lauką 'From'._x000D_
Vartotojui netinkant savarankiškai pasikeičia. _x000D_
Galimybė rankiniu būdu pakeisti kitą el. paštą._x000D_
_x000D_
h1. Pateikti pavyzdiniai scenarijai iš kliento pusės su GO-ERP komentarais:_x000D_
_x000D_
Ar veiktų šis sprendimas tokiais scenarijais:_x000D_
Esama situacija: yra BAK komanda, kuri dirba su BAK eile, turi savo pasta pagalba@ltgcargolt; yra komanda VR, kuri dirba su VR eile, turi savo paštą vagonai@ltgcargo.lt_x000D_
* 1 scenarijus:_x000D_
&gt; Kliento laiškas, adresatai nurodoma pagalba@ltgcargo.lt. Laiškas įkrenta į BAK eilę, BAK komandos narys konvertuoja į užklausą. Iš užklausos rašomas laiškas, užsideda paštas from pagalba@ltgcargo_x000D_
&gt; *GO-ERP komentaras (Versija 3):*_x000D_
&gt; Galimas scenarijus. Funkcija ieškotų, prie kokios eilės priskirtas el.laiškas, kai pats el.laiškas atsakomas iš naujos užklausos._x000D_
* 2 scenarijus:_x000D_
&gt; Kliento laiškas, adresatai nurodoma pagalba@ltgcargo ir vadonai@ltgcargo.lt. Laiškas įkrenta ir į BAK ir į VR eiles. Pagal laiško turinį BAK komandos narys konvertuoja į užklausą. Iš užklausos rašomas laiškas, užsideda paštas from pagalba@ltgcargo. VR eilėje įrašas panaikinamas._x000D_
&gt; *GO-ERP komentaras (Versija 3):*_x000D_
&gt; Labiau galimas scenarijus. Tikėtina, kad būtų reikiamybė fone(vartotojams nematomai) fiksuoti laiško įrašo naujame laukelyje iš kokios eilės buvo konvertuotas laiškas. Pagal tai sistemos funkcija žinotų, kurios eilės pagrindu uždėti el.pašto adresą į From laukelį._x000D_
* 3 scenarijus:_x000D_
&gt; Kliento laiškas, adresatai nurodoma pagalba@ltgcargo.lt. Laiškas įkrenta į BAK eilę, BAK komandos narys indentifikuoja, kad tai ne jų klausimas ir laišką perskiria į VR eilę. VR komandos narys konvertuoja į užklausą. Iš užklausos rašomas laiškas, užsideda paštas from vagonai@ltgcargo_x000D_
&gt; *GO-ERP komentaras (Versija 3):*_x000D_
&gt; Labiau galimas scenarijus. Pasitarnautų funkcinis įgyvendinimas kaip aprašyta 2 scenarijuje - susikuriant dedikuotą lauką su užstatoma paskutine eile, iš kurios buvo konvertuotas laiškas į užklausą.  _x000D_
_x000D_
h1. Atliekamos modifikacijos:_x000D_
_x000D_
*&lt;pre&gt;_x000D_
Modifikacijų sprendinio šaltinis: LTG_CRM - #96210 FR3-SPRINT1 System Customizations_x000D_
&lt;/pre&gt;*_x000D_
_x000D_
* Atliekamas programavimas ir veiksmų seka, kurios pagrindu laiško siuntėjas nustatomas ir įdedamas į formuojamą juodraštinį laišką._x000D_
&gt; Kodo pagalba sukuriama 'OnLoad' operaciją, kuri iškart, atvėrus juodraščio statuso(status eq draft) įrašą, užkeičia 'From' laukelį el. pašto adresu paimtu iš 'Users' modulyje sukurto naujo laukelio 'Email Replies Mailbox'(goerp_emailrepliesmailbox)_x000D_
&gt; Jeigu 'yes/no' laukelis 'Enable All Email Replies from Other Mailbox?' pažymėtas kaip 'No', tuomet ignoruoti el.pašto adreso paėmimą ir nedaryti nieko;_x000D_
&gt; Jeigu vartotojas ištrina Email įraše įdėtą 'From' adresą, kodas nedaro nieko;_x000D_
* Sukuriamas naujas 'Yes/No' tipo laukelis 'Users'(vartotojų) modulyje pavadinimu 'Enable All Email Replies from Other Mailbox?' (LT."Įgalinti visus el.laiškų atsakymus kitos pašto dėžutės pagrindu?")_x000D_
&gt; Sukurtas laukelis patalpinamas į 'Users' modulio pagrindinę formą (Main form) kaip trigger/checkbox (jungtukas/varnelė)_x000D_
* Sukuriamas naujas laukelis 'Users'(vartotojų) modulyje pavadinimu 'Email Replies Mailbox (LT."Laiškų atsakymų el.paštas") skirtas įrašyti el.pašto adresą(bendrinės pašto dėžutės), kuris būtų panaudojamas atsakinėjant į eilės laiškus._x000D_
&gt; Sukurtas laukelis patalpinamas į 'Users' modulio pagrindinę formą (Main form)_x000D_
* Sukuriamas 'Business Rule'(verslo taisyklė) atvaizduoti 'Email Replies Mailbox' laukelį tik tuomet, kai 'Enable All Email Replies from Other Mailbox?' yra pažymėtas, kaip 'Yes'_x000D_
_x000D_
Rezultatas:_x000D_
Kai vartotojas paspaudžia 'reply' laiške ir sistema užkrauna naują el.laiško atsakymo įrašą, kodas su OnLoad operacija uždeda vartotojo kortelėje, naujame laukelyje, nurodytą el.paštą į 'From' lauką. _x000D_
Jeigu vartotojui netinka įdėtas el.pašto adresas - savarankiškai pasikeičia ištrindamas įdėtą ir pasirinkdamas arba įrašydamas naują._x000D_
</t>
        </is>
      </c>
      <c r="R19" s="1" t="n">
        <v>45918</v>
      </c>
      <c r="S19" s="1" t="n">
        <v>45968</v>
      </c>
      <c r="T19" t="n">
        <v>40</v>
      </c>
      <c r="U19" t="b">
        <v>0</v>
      </c>
      <c r="V19" t="n">
        <v>11</v>
      </c>
      <c r="W19" t="n">
        <v>11</v>
      </c>
      <c r="X19" t="n">
        <v>11.75</v>
      </c>
      <c r="Y19" t="n">
        <v>11.75</v>
      </c>
      <c r="Z19" t="inlineStr">
        <is>
          <t>[List]</t>
        </is>
      </c>
      <c r="AA19" t="inlineStr">
        <is>
          <t>2025-09-19T10:31:00Z</t>
        </is>
      </c>
      <c r="AC19" t="n">
        <v>96220</v>
      </c>
      <c r="AD19" t="inlineStr">
        <is>
          <t>FR3-SPRINT_1</t>
        </is>
      </c>
      <c r="AE19">
        <f>Merge1[[#This Row],[Column1.estimated_hours]] * ( Merge1[[#This Row],[Column1.done_ratio]] / 100 )</f>
        <v/>
      </c>
      <c r="AF19" s="11">
        <f>IF(Merge1[[#This Row],[Column1.spent_hours]]&gt;0, Merge1[[#This Row],[DE]]/Merge1[[#This Row],[Column1.spent_hours]], 0)</f>
        <v/>
      </c>
    </row>
    <row r="20">
      <c r="A20" t="n">
        <v>96218</v>
      </c>
      <c r="B20" t="n">
        <v>512</v>
      </c>
      <c r="C20" t="inlineStr">
        <is>
          <t>LG-D365 CRM Project</t>
        </is>
      </c>
      <c r="D20" t="n">
        <v>2</v>
      </c>
      <c r="E20" t="inlineStr">
        <is>
          <t>Feature</t>
        </is>
      </c>
      <c r="F20" t="n">
        <v>9</v>
      </c>
      <c r="G20" t="inlineStr">
        <is>
          <t>Ready for testing</t>
        </is>
      </c>
      <c r="H20" t="b">
        <v>0</v>
      </c>
      <c r="I20" t="n">
        <v>4</v>
      </c>
      <c r="J20" t="inlineStr">
        <is>
          <t>Normal</t>
        </is>
      </c>
      <c r="K20" t="n">
        <v>875</v>
      </c>
      <c r="L20" t="inlineStr">
        <is>
          <t>VilMat</t>
        </is>
      </c>
      <c r="M20" t="n">
        <v>875</v>
      </c>
      <c r="N20" t="inlineStr">
        <is>
          <t>VilMat</t>
        </is>
      </c>
      <c r="O20" t="n">
        <v>96216</v>
      </c>
      <c r="P20" t="inlineStr">
        <is>
          <t xml:space="preserve">FR3-SPRINT_1-001 - Risk Assessment/Account modulio modifikacijos </t>
        </is>
      </c>
      <c r="Q20" t="inlineStr">
        <is>
          <t xml:space="preserve">h1. Poreikis:_x000D_
_x000D_
Kliento kortelėje atsiranda laukas, kur galima kopijuoti nuorodą. _x000D_
Įtraukti į tikrinimo retrospektyvą._x000D_
Kad būtų galimybė įtraukti į rodinius stulpelį_x000D_
_x000D_
h1. Patvirtintas poreikis:_x000D_
_x000D_
Klientų prevencijos informaciją fiksuoti į tikrinimo retrospektyvą. Kliento prevencijos įraše._x000D_
Galimybė Kliento objekte įsitraukti į rodinio stulpelį Dokumentas DVS laukelį_x000D_
_x000D_
Padaryti įrašą (risk assesment) kaip neaktyvų, kaip pabaigos data yra senesnė negu šiandien. _x000D_
Įtraukti papildomą laukelį į rodinį Kliento kortelėje &gt; Skirtukas dokumentai &gt; Kliento prevencijos informacija sekcija &gt; Įrašo statusas / būklė _x000D_
Rodyti aktyvius/neaktyvius (kaip Marketingo sekcija)_x000D_
_x000D_
h1. Atliekamos modifikacijos:_x000D_
_x000D_
*&lt;pre&gt;_x000D_
Modifikacijų sprendinio šaltinis: LTG_CRM - #96210 FR3-SPRINT1 System Customizations_x000D_
&lt;/pre&gt;*_x000D_
_x000D_
Risk Assessment:_x000D_
* Aktyvuojamas 'Audit History' moduliui 'Risk Assessment';_x000D_
* Įrašo 'Risk Assessment' deaktyvavimas, kai nustatyta 'pabaigos data' tampa senesnė nei šiandienos data. Atliekamas power automate flow/workflow proceso kūrimas:_x000D_
&gt; Sukuriamas power automate flow/workflow_x000D_
&gt; Flow/Workflow tikrina visus aktyvius 'Risk Assessment' įrašus_x000D_
&gt; Flow/Workflow auto-kartojasi(recurrent) kiekvieną naktį 3:33 laiku_x000D_
&gt; Jeigu įraše nurodyta laukelio 'Valid to' data yra senesnė nei šiandienos data, pakeisti įrašo statusą į:_x000D_
&gt;&gt; Status (statecode) eq 1_x000D_
&gt;&gt; Status Reason (statuscode) eq 2_x000D_
Account:_x000D_
* Įtraukiamas papildomas stulpelis į 'Account' įraše esantį 'Risk Assessment' 'sub-grid':_x000D_
&gt; Įtraukiamas laukelis: Status (Įrašo statusas/būklė);_x000D_
* Atliekamos korekcijas atvaizduojamai 'Risk Assessment' sub-lentelei:_x000D_
&gt; Įgalinama galimybė rinktis, kurį rodinį, iš galimų pasirinkimų, atvaizduoti sub-lentelėje - view multi-choice_x000D_
</t>
        </is>
      </c>
      <c r="R20" s="1" t="n">
        <v>45918</v>
      </c>
      <c r="S20" s="1" t="n">
        <v>45968</v>
      </c>
      <c r="T20" t="n">
        <v>40</v>
      </c>
      <c r="U20" t="b">
        <v>0</v>
      </c>
      <c r="V20" t="n">
        <v>3.5</v>
      </c>
      <c r="W20" t="n">
        <v>3.5</v>
      </c>
      <c r="X20" t="n">
        <v>3.25</v>
      </c>
      <c r="Y20" t="n">
        <v>3.25</v>
      </c>
      <c r="Z20" t="inlineStr">
        <is>
          <t>[List]</t>
        </is>
      </c>
      <c r="AA20" t="inlineStr">
        <is>
          <t>2025-09-19T10:08:40Z</t>
        </is>
      </c>
      <c r="AC20" t="n">
        <v>96218</v>
      </c>
      <c r="AD20" t="inlineStr">
        <is>
          <t>FR3-SPRINT_1</t>
        </is>
      </c>
      <c r="AE20">
        <f>Merge1[[#This Row],[Column1.estimated_hours]] * ( Merge1[[#This Row],[Column1.done_ratio]] / 100 )</f>
        <v/>
      </c>
      <c r="AF20" s="11">
        <f>IF(Merge1[[#This Row],[Column1.spent_hours]]&gt;0, Merge1[[#This Row],[DE]]/Merge1[[#This Row],[Column1.spent_hours]], 0)</f>
        <v/>
      </c>
    </row>
    <row r="21">
      <c r="A21" t="n">
        <v>96216</v>
      </c>
      <c r="B21" t="n">
        <v>512</v>
      </c>
      <c r="C21" t="inlineStr">
        <is>
          <t>LG-D365 CRM Project</t>
        </is>
      </c>
      <c r="D21" t="n">
        <v>2</v>
      </c>
      <c r="E21" t="inlineStr">
        <is>
          <t>Feature</t>
        </is>
      </c>
      <c r="F21" t="n">
        <v>2</v>
      </c>
      <c r="G21" t="inlineStr">
        <is>
          <t>In Progress</t>
        </is>
      </c>
      <c r="H21" t="b">
        <v>0</v>
      </c>
      <c r="I21" t="n">
        <v>4</v>
      </c>
      <c r="J21" t="inlineStr">
        <is>
          <t>Normal</t>
        </is>
      </c>
      <c r="K21" t="n">
        <v>875</v>
      </c>
      <c r="L21" t="inlineStr">
        <is>
          <t>VilMat</t>
        </is>
      </c>
      <c r="M21" t="n">
        <v>875</v>
      </c>
      <c r="N21" t="inlineStr">
        <is>
          <t>VilMat</t>
        </is>
      </c>
      <c r="O21" t="n">
        <v>96210</v>
      </c>
      <c r="P21" t="inlineStr">
        <is>
          <t>FR3-SPRINT_1-000 - Risk Assesments (Klientų prevencijos)</t>
        </is>
      </c>
      <c r="Q21" t="inlineStr">
        <is>
          <t>*Modulio apimtyje atliekami su klientu pasitvirtinti pirmo prioriteto darbai*_x000D_
&lt;pre&gt;_x000D_
Darbai atliekami sprendinyje pavadinimu: LTG_CRM - #96210 FR3-SPRINT1 System Customizations_x000D_
&lt;/pre&gt;</t>
        </is>
      </c>
      <c r="R21" s="1" t="n">
        <v>45915</v>
      </c>
      <c r="S21" s="1" t="n">
        <v>45968</v>
      </c>
      <c r="T21" t="n">
        <v>40</v>
      </c>
      <c r="U21" t="b">
        <v>0</v>
      </c>
      <c r="W21" t="n">
        <v>3.5</v>
      </c>
      <c r="X21" t="n">
        <v>0</v>
      </c>
      <c r="Y21" t="n">
        <v>3.25</v>
      </c>
      <c r="Z21" t="inlineStr">
        <is>
          <t>[List]</t>
        </is>
      </c>
      <c r="AA21" t="inlineStr">
        <is>
          <t>2025-09-19T09:48:38Z</t>
        </is>
      </c>
      <c r="AC21" t="n">
        <v>96216</v>
      </c>
      <c r="AE21">
        <f>Merge1[[#This Row],[Column1.estimated_hours]] * ( Merge1[[#This Row],[Column1.done_ratio]] / 100 )</f>
        <v/>
      </c>
      <c r="AF21">
        <f>IF(Merge1[[#This Row],[Column1.spent_hours]]&gt;0, Merge1[[#This Row],[DE]]/Merge1[[#This Row],[Column1.spent_hours]], 0)</f>
        <v/>
      </c>
    </row>
    <row r="22">
      <c r="A22" t="n">
        <v>96215</v>
      </c>
      <c r="B22" t="n">
        <v>512</v>
      </c>
      <c r="C22" t="inlineStr">
        <is>
          <t>LG-D365 CRM Project</t>
        </is>
      </c>
      <c r="D22" t="n">
        <v>2</v>
      </c>
      <c r="E22" t="inlineStr">
        <is>
          <t>Feature</t>
        </is>
      </c>
      <c r="F22" t="n">
        <v>2</v>
      </c>
      <c r="G22" t="inlineStr">
        <is>
          <t>In Progress</t>
        </is>
      </c>
      <c r="H22" t="b">
        <v>0</v>
      </c>
      <c r="I22" t="n">
        <v>4</v>
      </c>
      <c r="J22" t="inlineStr">
        <is>
          <t>Normal</t>
        </is>
      </c>
      <c r="K22" t="n">
        <v>875</v>
      </c>
      <c r="L22" t="inlineStr">
        <is>
          <t>VilMat</t>
        </is>
      </c>
      <c r="M22" t="n">
        <v>875</v>
      </c>
      <c r="N22" t="inlineStr">
        <is>
          <t>VilMat</t>
        </is>
      </c>
      <c r="O22" t="n">
        <v>96210</v>
      </c>
      <c r="P22" t="inlineStr">
        <is>
          <t>FR3-SPRINT_1-000 - Email Messages (El.laiškai)</t>
        </is>
      </c>
      <c r="Q22" t="inlineStr">
        <is>
          <t xml:space="preserve">*Modulio apimtyje atliekami su klientu pasitvirtinti pirmo prioriteto darbai*_x000D_
&lt;pre&gt;_x000D_
Darbai atliekami sprendinyje pavadinimu: LTG_CRM - #96210 FR3-SPRINT1 System Customizations_x000D_
&lt;/pre&gt;_x000D_
</t>
        </is>
      </c>
      <c r="R22" s="1" t="n">
        <v>45915</v>
      </c>
      <c r="S22" s="1" t="n">
        <v>45968</v>
      </c>
      <c r="T22" t="n">
        <v>45</v>
      </c>
      <c r="U22" t="b">
        <v>0</v>
      </c>
      <c r="W22" t="n">
        <v>24</v>
      </c>
      <c r="X22" t="n">
        <v>0</v>
      </c>
      <c r="Y22" t="n">
        <v>25.25</v>
      </c>
      <c r="Z22" t="inlineStr">
        <is>
          <t>[List]</t>
        </is>
      </c>
      <c r="AA22" t="inlineStr">
        <is>
          <t>2025-09-19T09:46:30Z</t>
        </is>
      </c>
      <c r="AC22" t="n">
        <v>96215</v>
      </c>
      <c r="AE22">
        <f>Merge1[[#This Row],[Column1.estimated_hours]] * ( Merge1[[#This Row],[Column1.done_ratio]] / 100 )</f>
        <v/>
      </c>
      <c r="AF22">
        <f>IF(Merge1[[#This Row],[Column1.spent_hours]]&gt;0, Merge1[[#This Row],[DE]]/Merge1[[#This Row],[Column1.spent_hours]], 0)</f>
        <v/>
      </c>
    </row>
    <row r="23">
      <c r="A23" t="n">
        <v>96214</v>
      </c>
      <c r="B23" t="n">
        <v>512</v>
      </c>
      <c r="C23" t="inlineStr">
        <is>
          <t>LG-D365 CRM Project</t>
        </is>
      </c>
      <c r="D23" t="n">
        <v>2</v>
      </c>
      <c r="E23" t="inlineStr">
        <is>
          <t>Feature</t>
        </is>
      </c>
      <c r="F23" t="n">
        <v>2</v>
      </c>
      <c r="G23" t="inlineStr">
        <is>
          <t>In Progress</t>
        </is>
      </c>
      <c r="H23" t="b">
        <v>0</v>
      </c>
      <c r="I23" t="n">
        <v>4</v>
      </c>
      <c r="J23" t="inlineStr">
        <is>
          <t>Normal</t>
        </is>
      </c>
      <c r="K23" t="n">
        <v>875</v>
      </c>
      <c r="L23" t="inlineStr">
        <is>
          <t>VilMat</t>
        </is>
      </c>
      <c r="M23" t="n">
        <v>875</v>
      </c>
      <c r="N23" t="inlineStr">
        <is>
          <t>VilMat</t>
        </is>
      </c>
      <c r="O23" t="n">
        <v>96210</v>
      </c>
      <c r="P23" t="inlineStr">
        <is>
          <t>FR3-SPRINT_1-000 - Queue/Queue Items (Eilės/eilių įrašai)</t>
        </is>
      </c>
      <c r="Q23" t="inlineStr">
        <is>
          <t>*Modulio apimtyje atliekami su klientu pasitvirtinti pirmo prioriteto darbai*_x000D_
_x000D_
&lt;pre&gt;_x000D_
Darbai atliekami sprendinyje pavadinimu: LTG_CRM - #96210 FR3-SPRINT1 System Customizations_x000D_
&lt;/pre&gt;</t>
        </is>
      </c>
      <c r="R23" s="1" t="n">
        <v>45915</v>
      </c>
      <c r="S23" s="1" t="n">
        <v>45968</v>
      </c>
      <c r="T23" t="n">
        <v>27</v>
      </c>
      <c r="U23" t="b">
        <v>0</v>
      </c>
      <c r="W23" t="n">
        <v>82</v>
      </c>
      <c r="X23" t="n">
        <v>0</v>
      </c>
      <c r="Y23" t="n">
        <v>49.5</v>
      </c>
      <c r="Z23" t="inlineStr">
        <is>
          <t>[List]</t>
        </is>
      </c>
      <c r="AA23" t="inlineStr">
        <is>
          <t>2025-09-19T09:45:11Z</t>
        </is>
      </c>
      <c r="AC23" t="n">
        <v>96214</v>
      </c>
      <c r="AE23">
        <f>Merge1[[#This Row],[Column1.estimated_hours]] * ( Merge1[[#This Row],[Column1.done_ratio]] / 100 )</f>
        <v/>
      </c>
      <c r="AF23">
        <f>IF(Merge1[[#This Row],[Column1.spent_hours]]&gt;0, Merge1[[#This Row],[DE]]/Merge1[[#This Row],[Column1.spent_hours]], 0)</f>
        <v/>
      </c>
    </row>
    <row r="24">
      <c r="A24" t="n">
        <v>96213</v>
      </c>
      <c r="B24" t="n">
        <v>512</v>
      </c>
      <c r="C24" t="inlineStr">
        <is>
          <t>LG-D365 CRM Project</t>
        </is>
      </c>
      <c r="D24" t="n">
        <v>2</v>
      </c>
      <c r="E24" t="inlineStr">
        <is>
          <t>Feature</t>
        </is>
      </c>
      <c r="F24" t="n">
        <v>2</v>
      </c>
      <c r="G24" t="inlineStr">
        <is>
          <t>In Progress</t>
        </is>
      </c>
      <c r="H24" t="b">
        <v>0</v>
      </c>
      <c r="I24" t="n">
        <v>4</v>
      </c>
      <c r="J24" t="inlineStr">
        <is>
          <t>Normal</t>
        </is>
      </c>
      <c r="K24" t="n">
        <v>875</v>
      </c>
      <c r="L24" t="inlineStr">
        <is>
          <t>VilMat</t>
        </is>
      </c>
      <c r="M24" t="n">
        <v>875</v>
      </c>
      <c r="N24" t="inlineStr">
        <is>
          <t>VilMat</t>
        </is>
      </c>
      <c r="O24" t="n">
        <v>96210</v>
      </c>
      <c r="P24" t="inlineStr">
        <is>
          <t>FR3-SPRINT_1-000 - Cases (Užklausos)</t>
        </is>
      </c>
      <c r="Q24" t="inlineStr">
        <is>
          <t>*Modulio apimtyje atliekami su klientu pasitvirtinti pirmo prioriteto darbai*_x000D_
_x000D_
&lt;pre&gt;_x000D_
Darbai atliekami sprendinyje pavadinimu: LTG_CRM - #96210 FR3-SPRINT1 System Customizations_x000D_
&lt;/pre&gt;</t>
        </is>
      </c>
      <c r="R24" s="1" t="n">
        <v>45915</v>
      </c>
      <c r="S24" s="1" t="n">
        <v>45968</v>
      </c>
      <c r="T24" t="n">
        <v>15</v>
      </c>
      <c r="U24" t="b">
        <v>0</v>
      </c>
      <c r="W24" t="n">
        <v>39.5</v>
      </c>
      <c r="X24" t="n">
        <v>0</v>
      </c>
      <c r="Y24" t="n">
        <v>19.5</v>
      </c>
      <c r="Z24" t="inlineStr">
        <is>
          <t>[List]</t>
        </is>
      </c>
      <c r="AA24" t="inlineStr">
        <is>
          <t>2025-09-19T09:42:40Z</t>
        </is>
      </c>
      <c r="AC24" t="n">
        <v>96213</v>
      </c>
      <c r="AE24">
        <f>Merge1[[#This Row],[Column1.estimated_hours]] * ( Merge1[[#This Row],[Column1.done_ratio]] / 100 )</f>
        <v/>
      </c>
      <c r="AF24">
        <f>IF(Merge1[[#This Row],[Column1.spent_hours]]&gt;0, Merge1[[#This Row],[DE]]/Merge1[[#This Row],[Column1.spent_hours]], 0)</f>
        <v/>
      </c>
    </row>
    <row r="25">
      <c r="A25" t="n">
        <v>96210</v>
      </c>
      <c r="B25" t="n">
        <v>512</v>
      </c>
      <c r="C25" t="inlineStr">
        <is>
          <t>LG-D365 CRM Project</t>
        </is>
      </c>
      <c r="D25" t="n">
        <v>2</v>
      </c>
      <c r="E25" t="inlineStr">
        <is>
          <t>Feature</t>
        </is>
      </c>
      <c r="F25" t="n">
        <v>2</v>
      </c>
      <c r="G25" t="inlineStr">
        <is>
          <t>In Progress</t>
        </is>
      </c>
      <c r="H25" t="b">
        <v>0</v>
      </c>
      <c r="I25" t="n">
        <v>4</v>
      </c>
      <c r="J25" t="inlineStr">
        <is>
          <t>Normal</t>
        </is>
      </c>
      <c r="K25" t="n">
        <v>875</v>
      </c>
      <c r="L25" t="inlineStr">
        <is>
          <t>VilMat</t>
        </is>
      </c>
      <c r="M25" t="n">
        <v>875</v>
      </c>
      <c r="N25" t="inlineStr">
        <is>
          <t>VilMat</t>
        </is>
      </c>
      <c r="P25" t="inlineStr">
        <is>
          <t>FR3-20250601 - Užsakymas | 2025</t>
        </is>
      </c>
      <c r="Q25" t="inlineStr">
        <is>
          <t>*Darbai vykdomi remiantis su klientu suderinta ir pasitvirtinta excel lentele (Dokumentas prisegamas prie užduoties).*_x000D_
_x000D_
*Modifikacijos apima šiuo pagrindinius sistemos komponentus:*_x000D_
_x000D_
|_.Modulis(LT)|_.Modulis(ENG)|_x000D_
| Eilės | Queue |_x000D_
| Eilių įrašai | Queue Items |_x000D_
| Užklausos | Case |_x000D_
| Klientai | Accounts |_x000D_
| Kontaktai | Contacts |_x000D_
| El.laiškai | Email Messages |_x000D_
| Užduotys | Tasks |_x000D_
| Vartotojai | Users |_x000D_
_x000D_
____________x000D_
_x000D_
Darbai vykdomi 'agile' būdu keliais sprint'ais. Sprint'e atliktos modifikacijos paketais keliamos į testinę aplinką ir perduodama klientui atllikti vizavimą. Patvirtinus funkcijos išbaigtumą modifikacija keliama į Produkcinę aplinką._x000D_
_x000D_
*Numatyti ir suderinti sprint'ai:*_x000D_
* SPRINT_1 (155.5 val.)_x000D_
* SPRINT_2_x000D_
* SPRINT_3_x000D_
_x000D_
*Darbai atliekami sprendinyje pavadinimu: LTG_CRM - #96210 FR3-20250601 System Customizations*_x000D_
_x000D_
____________x000D_
_x000D_
* 2025-09-18 dienai su klientu pasitvirtinta ir suderinta SPRINT_1 darbų apimtis_x000D_
* Šios, pagrindinės, užduoties darbų įvykdymo terminai statomi per SPRINT etapą (SPRINT_1, tada SPRINT_2, tada SPRINT_3)._x000D_
* SPRINT_1 numatoma preliminari darbų pabaiga - *2025-10-24* (dėl kliento testavimo efektyvumo, atsakomumo ir keliamų klausimų gali būti atidėta)</t>
        </is>
      </c>
      <c r="R25" s="1" t="n">
        <v>45918</v>
      </c>
      <c r="S25" s="1" t="n">
        <v>45954</v>
      </c>
      <c r="T25" t="n">
        <v>27</v>
      </c>
      <c r="U25" t="b">
        <v>0</v>
      </c>
      <c r="W25" t="n">
        <v>155.5</v>
      </c>
      <c r="X25" t="n">
        <v>0</v>
      </c>
      <c r="Y25" t="n">
        <v>101</v>
      </c>
      <c r="Z25" t="inlineStr">
        <is>
          <t>[List]</t>
        </is>
      </c>
      <c r="AA25" t="inlineStr">
        <is>
          <t>2025-09-19T09:22:41Z</t>
        </is>
      </c>
      <c r="AC25" t="n">
        <v>96210</v>
      </c>
      <c r="AE25">
        <f>Merge1[[#This Row],[Column1.estimated_hours]] * ( Merge1[[#This Row],[Column1.done_ratio]] / 100 )</f>
        <v/>
      </c>
      <c r="AF25">
        <f>IF(Merge1[[#This Row],[Column1.spent_hours]]&gt;0, Merge1[[#This Row],[DE]]/Merge1[[#This Row],[Column1.spent_hours]], 0)</f>
        <v/>
      </c>
    </row>
    <row r="26">
      <c r="A26" t="n">
        <v>96064</v>
      </c>
      <c r="B26" t="n">
        <v>512</v>
      </c>
      <c r="C26" t="inlineStr">
        <is>
          <t>LG-D365 CRM Project</t>
        </is>
      </c>
      <c r="D26" t="n">
        <v>2</v>
      </c>
      <c r="E26" t="inlineStr">
        <is>
          <t>Feature</t>
        </is>
      </c>
      <c r="F26" t="n">
        <v>17</v>
      </c>
      <c r="G26" t="inlineStr">
        <is>
          <t>Feedback from customer</t>
        </is>
      </c>
      <c r="H26" t="b">
        <v>0</v>
      </c>
      <c r="I26" t="n">
        <v>4</v>
      </c>
      <c r="J26" t="inlineStr">
        <is>
          <t>Normal</t>
        </is>
      </c>
      <c r="K26" t="n">
        <v>875</v>
      </c>
      <c r="L26" t="inlineStr">
        <is>
          <t>VilMat</t>
        </is>
      </c>
      <c r="M26" t="n">
        <v>875</v>
      </c>
      <c r="N26" t="inlineStr">
        <is>
          <t>VilMat</t>
        </is>
      </c>
      <c r="O26" t="n">
        <v>86268</v>
      </c>
      <c r="P26" t="inlineStr">
        <is>
          <t>FR1-20250625-002 - CRM/KIWI integracija - Galimybės atverti CRM kortelę iš MS pusės</t>
        </is>
      </c>
      <c r="Q26" t="inlineStr">
        <is>
          <t>*Kliento poreikis:*_x000D_
* Naujai sukurta CRM skambučio kortelė turėtų būti atidaroma atsiliepusiam į skambutį vartotojui naujame naršyklės lange automatiškai._x000D_
* Klientas tikisi, kad CRM įrašo langas galėtų būti atveriamas vartotojui iš jų Microsoft organizacijos profilio pusės (unikalus servisas, specialūs konektoriai ar kt.)_x000D_
_x000D_
_______________________x000D_
_x000D_
*Problematika:*_x000D_
* KiwiCONTACT sistemos atstovas sako, kad toks kortelės pakėlimas nėra jų turimos programos dalis ir jie to nerealizuoja_x000D_
* Pasiūlytas tarpinio serviso kūrimo variantas klientui nepriimtinas (neplanuoja samdyti trečiosios šalies funkcijos kūrimui)_x000D_
* Pagal numatytąją politiką MS neturi galimybės atverti CRM įrašo langą identifikuotam vartotojui, pagal gautą informaciją iš trečiosios šalies sistemos (KiwiCONTACT), nes tai reikštų, kad reiktų jungtis tiesiogiai į to vartotojo įrenginį su kuriuo jis tuo metu dirba (kompiuteris, plančetė, telefonas, etc.)_x000D_
* CRM sistemai nėra lengva identifikuoti, kurie vartotojai šiuo metu dirba su sistema ir yra aktyvūs (vartotojai prisijungia prie CRM ir palieka prisijungę, nors nebedirba)_x000D_
_x000D_
_______________________x000D_
_x000D_
*Reikalingi veiksmai:*_x000D_
* Patikrinti ir pateikti atsakymą, kokie yra (jeigu yra) galimi variantai, kaip būtų galima atverti CRM įrašo kortelę identifikuoto vartotojo įrenginyje po gautos duomenų apimties iš trečiosios šalies sistemos. _x000D_
* Jeigu yra galimi variantai - pateikti potencialius/preliminarius vertinimus, kiek toks sprendimas gali pareikalauti darbo valandų.</t>
        </is>
      </c>
      <c r="R26" s="1" t="n"/>
      <c r="S26" s="1" t="n">
        <v>45926</v>
      </c>
      <c r="T26" t="n">
        <v>70</v>
      </c>
      <c r="U26" t="b">
        <v>0</v>
      </c>
      <c r="X26" t="n">
        <v>5.25</v>
      </c>
      <c r="Y26" t="n">
        <v>5.25</v>
      </c>
      <c r="Z26" t="inlineStr">
        <is>
          <t>[List]</t>
        </is>
      </c>
      <c r="AA26" t="inlineStr">
        <is>
          <t>2025-09-16T11:34:23Z</t>
        </is>
      </c>
      <c r="AC26" t="n">
        <v>96064</v>
      </c>
      <c r="AE26">
        <f>Merge1[[#This Row],[Column1.estimated_hours]] * ( Merge1[[#This Row],[Column1.done_ratio]] / 100 )</f>
        <v/>
      </c>
      <c r="AF26">
        <f>IF(Merge1[[#This Row],[Column1.spent_hours]]&gt;0, Merge1[[#This Row],[DE]]/Merge1[[#This Row],[Column1.spent_hours]], 0)</f>
        <v/>
      </c>
    </row>
    <row r="27">
      <c r="A27" t="n">
        <v>94099</v>
      </c>
      <c r="B27" t="n">
        <v>512</v>
      </c>
      <c r="C27" t="inlineStr">
        <is>
          <t>LG-D365 CRM Project</t>
        </is>
      </c>
      <c r="D27" t="n">
        <v>3</v>
      </c>
      <c r="E27" t="inlineStr">
        <is>
          <t>Support</t>
        </is>
      </c>
      <c r="F27" t="n">
        <v>3</v>
      </c>
      <c r="G27" t="inlineStr">
        <is>
          <t>Resolved</t>
        </is>
      </c>
      <c r="H27" t="b">
        <v>0</v>
      </c>
      <c r="I27" t="n">
        <v>4</v>
      </c>
      <c r="J27" t="inlineStr">
        <is>
          <t>Normal</t>
        </is>
      </c>
      <c r="K27" t="n">
        <v>875</v>
      </c>
      <c r="L27" t="inlineStr">
        <is>
          <t>VilMat</t>
        </is>
      </c>
      <c r="M27" t="n">
        <v>875</v>
      </c>
      <c r="N27" t="inlineStr">
        <is>
          <t>VilMat</t>
        </is>
      </c>
      <c r="P27" t="inlineStr">
        <is>
          <t>LTG INFRA/LINK testuotojų mokymai - dalyvavimo minutės</t>
        </is>
      </c>
      <c r="Q27" t="inlineStr">
        <is>
          <t>Dalyvaujama EY atliekamuose mokymuose ateityje gebėjimui perimti ir atlikti produkto aptarnavimą</t>
        </is>
      </c>
      <c r="R27" s="1" t="n">
        <v>45874</v>
      </c>
      <c r="S27" s="1" t="n">
        <v>45890</v>
      </c>
      <c r="T27" t="n">
        <v>100</v>
      </c>
      <c r="U27" t="b">
        <v>0</v>
      </c>
      <c r="X27" t="n">
        <v>6</v>
      </c>
      <c r="Y27" t="n">
        <v>6</v>
      </c>
      <c r="Z27" t="inlineStr">
        <is>
          <t>[List]</t>
        </is>
      </c>
      <c r="AA27" t="inlineStr">
        <is>
          <t>2025-08-05T13:19:09Z</t>
        </is>
      </c>
      <c r="AC27" t="n">
        <v>94099</v>
      </c>
      <c r="AE27">
        <f>Merge1[[#This Row],[Column1.estimated_hours]] * ( Merge1[[#This Row],[Column1.done_ratio]] / 100 )</f>
        <v/>
      </c>
      <c r="AF27">
        <f>IF(Merge1[[#This Row],[Column1.spent_hours]]&gt;0, Merge1[[#This Row],[DE]]/Merge1[[#This Row],[Column1.spent_hours]], 0)</f>
        <v/>
      </c>
    </row>
    <row r="28">
      <c r="A28" t="n">
        <v>94020</v>
      </c>
      <c r="B28" t="n">
        <v>512</v>
      </c>
      <c r="C28" t="inlineStr">
        <is>
          <t>LG-D365 CRM Project</t>
        </is>
      </c>
      <c r="D28" t="n">
        <v>3</v>
      </c>
      <c r="E28" t="inlineStr">
        <is>
          <t>Support</t>
        </is>
      </c>
      <c r="F28" t="n">
        <v>3</v>
      </c>
      <c r="G28" t="inlineStr">
        <is>
          <t>Resolved</t>
        </is>
      </c>
      <c r="H28" t="b">
        <v>0</v>
      </c>
      <c r="I28" t="n">
        <v>7</v>
      </c>
      <c r="J28" t="inlineStr">
        <is>
          <t>Immediate</t>
        </is>
      </c>
      <c r="K28" t="n">
        <v>830</v>
      </c>
      <c r="L28" t="inlineStr">
        <is>
          <t>EgiAsi</t>
        </is>
      </c>
      <c r="M28" t="n">
        <v>875</v>
      </c>
      <c r="N28" t="inlineStr">
        <is>
          <t>VilMat</t>
        </is>
      </c>
      <c r="P28" t="inlineStr">
        <is>
          <t>Kliento prevencijos informacija - atvaizdavimo pakeitimas</t>
        </is>
      </c>
      <c r="Q28" t="inlineStr">
        <is>
          <t>Sveiki, užsakau darbą, vykdyti nedelsiant, nelaukiant kitų prioritetų suderinimo, nes tai susiję su audito rekomendacija._x000D_
_x000D_
Į "Naujas kliento prevencijos įrašas" kortelę įterpti naują lauką nuorodai įkopijuoti (idealu kad būtų kaip "Dokumentų vieta", su gaubliuku, kurė paspaudus atvertų nuorodą). Pridedu pav. su vieta. _x000D_
Lauko pavadinimas "Dokumentas DVS/ DVS document".</t>
        </is>
      </c>
      <c r="R28" s="1" t="n">
        <v>45875</v>
      </c>
      <c r="S28" s="1" t="n">
        <v>45877</v>
      </c>
      <c r="T28" t="n">
        <v>100</v>
      </c>
      <c r="U28" t="b">
        <v>0</v>
      </c>
      <c r="V28" t="n">
        <v>2.5</v>
      </c>
      <c r="W28" t="n">
        <v>2.5</v>
      </c>
      <c r="X28" t="n">
        <v>2.5</v>
      </c>
      <c r="Y28" t="n">
        <v>2.5</v>
      </c>
      <c r="Z28" t="inlineStr">
        <is>
          <t>[List]</t>
        </is>
      </c>
      <c r="AA28" t="inlineStr">
        <is>
          <t>2025-08-05T05:05:10Z</t>
        </is>
      </c>
      <c r="AC28" t="n">
        <v>94020</v>
      </c>
      <c r="AE28">
        <f>Merge1[[#This Row],[Column1.estimated_hours]] * ( Merge1[[#This Row],[Column1.done_ratio]] / 100 )</f>
        <v/>
      </c>
      <c r="AF28">
        <f>IF(Merge1[[#This Row],[Column1.spent_hours]]&gt;0, Merge1[[#This Row],[DE]]/Merge1[[#This Row],[Column1.spent_hours]], 0)</f>
        <v/>
      </c>
    </row>
    <row r="29">
      <c r="A29" t="n">
        <v>91467</v>
      </c>
      <c r="B29" t="n">
        <v>512</v>
      </c>
      <c r="C29" t="inlineStr">
        <is>
          <t>LG-D365 CRM Project</t>
        </is>
      </c>
      <c r="D29" t="n">
        <v>2</v>
      </c>
      <c r="E29" t="inlineStr">
        <is>
          <t>Feature</t>
        </is>
      </c>
      <c r="F29" t="n">
        <v>17</v>
      </c>
      <c r="G29" t="inlineStr">
        <is>
          <t>Feedback from customer</t>
        </is>
      </c>
      <c r="H29" t="b">
        <v>0</v>
      </c>
      <c r="I29" t="n">
        <v>4</v>
      </c>
      <c r="J29" t="inlineStr">
        <is>
          <t>Normal</t>
        </is>
      </c>
      <c r="K29" t="n">
        <v>875</v>
      </c>
      <c r="L29" t="inlineStr">
        <is>
          <t>VilMat</t>
        </is>
      </c>
      <c r="M29" t="n">
        <v>830</v>
      </c>
      <c r="N29" t="inlineStr">
        <is>
          <t>EgiAsi</t>
        </is>
      </c>
      <c r="P29" t="inlineStr">
        <is>
          <t>FR2-20250625-000 - Kliento migravimas iš Sales Hub į Copilot Service Workspace programą</t>
        </is>
      </c>
      <c r="Q29" t="inlineStr">
        <is>
          <t xml:space="preserve">Atliekama sistemos analizė ar įmanoma klientui, be didelių išlaidų, persikvalifikuoti iš Sales Hub į Service Workspace programą išlaikant tas pačias formas, tačiau persikvalifikuojant dirbti su nauju dizainu._x000D_
Atlikus analizę informuojamas klientas apie perėjimo galimybes. _x000D_
_x000D_
Migravimas į Service Workspace programą tiesiogiai susijęs su telefonijos sprendimo integravimusi. Nuo to priklausys ar klientas galėtų dirbti su skambučiais naujame, programos suteikiamame, dizaine._x000D_
Užduotis susijusi su: #86268 </t>
        </is>
      </c>
      <c r="R29" s="1" t="n"/>
      <c r="S29" s="1" t="n">
        <v>45869</v>
      </c>
      <c r="T29" t="n">
        <v>60</v>
      </c>
      <c r="U29" t="b">
        <v>0</v>
      </c>
      <c r="V29" t="n">
        <v>30</v>
      </c>
      <c r="W29" t="n">
        <v>30</v>
      </c>
      <c r="X29" t="n">
        <v>5.25</v>
      </c>
      <c r="Y29" t="n">
        <v>5.25</v>
      </c>
      <c r="Z29" t="inlineStr">
        <is>
          <t>[List]</t>
        </is>
      </c>
      <c r="AA29" t="inlineStr">
        <is>
          <t>2025-06-25T11:48:05Z</t>
        </is>
      </c>
      <c r="AC29" t="n">
        <v>91467</v>
      </c>
      <c r="AE29">
        <f>Merge1[[#This Row],[Column1.estimated_hours]] * ( Merge1[[#This Row],[Column1.done_ratio]] / 100 )</f>
        <v/>
      </c>
      <c r="AF29">
        <f>IF(Merge1[[#This Row],[Column1.spent_hours]]&gt;0, Merge1[[#This Row],[DE]]/Merge1[[#This Row],[Column1.spent_hours]], 0)</f>
        <v/>
      </c>
    </row>
    <row r="30">
      <c r="A30" t="n">
        <v>91466</v>
      </c>
      <c r="B30" t="n">
        <v>512</v>
      </c>
      <c r="C30" t="inlineStr">
        <is>
          <t>LG-D365 CRM Project</t>
        </is>
      </c>
      <c r="D30" t="n">
        <v>2</v>
      </c>
      <c r="E30" t="inlineStr">
        <is>
          <t>Feature</t>
        </is>
      </c>
      <c r="F30" t="n">
        <v>17</v>
      </c>
      <c r="G30" t="inlineStr">
        <is>
          <t>Feedback from customer</t>
        </is>
      </c>
      <c r="H30" t="b">
        <v>0</v>
      </c>
      <c r="I30" t="n">
        <v>4</v>
      </c>
      <c r="J30" t="inlineStr">
        <is>
          <t>Normal</t>
        </is>
      </c>
      <c r="K30" t="n">
        <v>875</v>
      </c>
      <c r="L30" t="inlineStr">
        <is>
          <t>VilMat</t>
        </is>
      </c>
      <c r="M30" t="n">
        <v>830</v>
      </c>
      <c r="N30" t="inlineStr">
        <is>
          <t>EgiAsi</t>
        </is>
      </c>
      <c r="O30" t="n">
        <v>86268</v>
      </c>
      <c r="P30" t="inlineStr">
        <is>
          <t>FR1-20250625-001 - Funkcinio-techninio projektavimo dokumento paruošimas ir perdavimas klientui (KIWI Integracija)</t>
        </is>
      </c>
      <c r="Q30" t="inlineStr">
        <is>
          <t xml:space="preserve">Paruošiamas funkcinis - techninis, dvipusės KIWI telefonijos sprendimo integracijos su CRM, dokumentas_x000D_
</t>
        </is>
      </c>
      <c r="R30" s="1" t="n"/>
      <c r="S30" s="1" t="n"/>
      <c r="T30" t="n">
        <v>100</v>
      </c>
      <c r="U30" t="b">
        <v>0</v>
      </c>
      <c r="V30" t="n">
        <v>32</v>
      </c>
      <c r="W30" t="n">
        <v>32</v>
      </c>
      <c r="X30" t="n">
        <v>31.5</v>
      </c>
      <c r="Y30" t="n">
        <v>31.5</v>
      </c>
      <c r="Z30" t="inlineStr">
        <is>
          <t>[List]</t>
        </is>
      </c>
      <c r="AA30" t="inlineStr">
        <is>
          <t>2025-06-25T11:43:50Z</t>
        </is>
      </c>
      <c r="AC30" t="n">
        <v>91466</v>
      </c>
      <c r="AE30">
        <f>Merge1[[#This Row],[Column1.estimated_hours]] * ( Merge1[[#This Row],[Column1.done_ratio]] / 100 )</f>
        <v/>
      </c>
      <c r="AF30">
        <f>IF(Merge1[[#This Row],[Column1.spent_hours]]&gt;0, Merge1[[#This Row],[DE]]/Merge1[[#This Row],[Column1.spent_hours]], 0)</f>
        <v/>
      </c>
    </row>
    <row r="31">
      <c r="A31" t="n">
        <v>90447</v>
      </c>
      <c r="B31" t="n">
        <v>512</v>
      </c>
      <c r="C31" t="inlineStr">
        <is>
          <t>LG-D365 CRM Project</t>
        </is>
      </c>
      <c r="D31" t="n">
        <v>2</v>
      </c>
      <c r="E31" t="inlineStr">
        <is>
          <t>Feature</t>
        </is>
      </c>
      <c r="F31" t="n">
        <v>2</v>
      </c>
      <c r="G31" t="inlineStr">
        <is>
          <t>In Progress</t>
        </is>
      </c>
      <c r="H31" t="b">
        <v>0</v>
      </c>
      <c r="I31" t="n">
        <v>4</v>
      </c>
      <c r="J31" t="inlineStr">
        <is>
          <t>Normal</t>
        </is>
      </c>
      <c r="K31" t="n">
        <v>875</v>
      </c>
      <c r="L31" t="inlineStr">
        <is>
          <t>VilMat</t>
        </is>
      </c>
      <c r="M31" t="n">
        <v>875</v>
      </c>
      <c r="N31" t="inlineStr">
        <is>
          <t>VilMat</t>
        </is>
      </c>
      <c r="P31" t="inlineStr">
        <is>
          <t>FR3-20250601 - Nauji kliento poreikiai | susitikimų minutės (Pradžia 2025-06-04) | LTG/GO-ERP</t>
        </is>
      </c>
      <c r="Q31" t="inlineStr">
        <is>
          <t xml:space="preserve">Susitikimo metu aptariami potencialūs poreikiai ir jų galimybės būti įgyvendintomis, remiantis sistemos galimybėmis._x000D_
_x000D_
Pirmas susitikimas 2025-06-04:_x000D_
* Aptarti pirmieji 14 punktų iš kliento poreikių excelio sąrašo_x000D_
_x000D_
Antras susitikimas 2025-06-09:_x000D_
* Aptarti sekantys punktai iki 22-24 poreikio_x000D_
_x000D_
Trečiasis susitikimas 2025-06-11:_x000D_
* Aptarti sekantys punktai iki 41 poreikio_x000D_
_x000D_
Ketvirtasis susitikimas 2025-06-12:_x000D_
* Aptarti sekantys punktai iki 45 poreikio_x000D_
_x000D_
Penktasis susitikimas 2025-08-27:_x000D_
* Aptarta ir susiderinta dalis pirmo prioriteto poreikių_x000D_
_x000D_
Šeštasis susitikimas 2025-08-28:_x000D_
* Aptarta ir susiderinta dalis pirmo prioriteto poreikių_x000D_
_x000D_
Septintasis susitikimas 2025-09-02:_x000D_
* Aptarta ir susiderinta dalis pirmo prioriteto poreikių_x000D_
_x000D_
Aštuntasis susitikimas 2025-09-03:_x000D_
* Aptarta ir susiderinta dalis pirmo prioriteto poreikių_x000D_
_x000D_
Devintasis susitikimas 2025-09-10:_x000D_
* Aptarta SLA skaičiavimo logika ir keliami poreikiai modifikacijoms susijusiems šia tema, pagal poreikių excelį_x000D_
_x000D_
Dešimtasis susitikimas 2025-09-12:_x000D_
* Aptarti ir suderinti galutiniai pirmo prioriteto darbai, jų apimtys, techniniai išpildymai_x000D_
_x000D_
Vienuoliktasis susitikimas 2025-09-23:_x000D_
* Aptarta ir suderinta dalis antro prioriteto poreikių_x000D_
_x000D_
Dvyliktasis susitikimas 2025-09-24:_x000D_
* Aptarta ir suderinta dalis antro prioriteto poreikių_x000D_
_x000D_
Tryliktasis susitikimas 2025-09-30:_x000D_
* Aptarta ir suderinta dalis antro prioriteto poreikių, iškelti papildomi poreikiai_x000D_
_x000D_
Keturioliktasis susitikimas 2025-10-01:_x000D_
* Aptarta ir suderinta dalis antro prioriteto poreikių, aptarti alternatyvūs įgyvendinimo scenarijai_x000D_
_x000D_
Penkioliktasis susitikimas 2025-10-02:_x000D_
* Aptarta ir suderinta dalis antro prioriteto poreikių, aptarti alternatyvūs įgyvendinimo scenarijai, iškelti papildomi poreikiai_x000D_
_x000D_
Šešioliktasis susitikimas 2025-10-08:_x000D_
* Aptarta ir suderinta dalis antro prioriteto poreikių, pasiūlyta alternatyvių įgyvendinimo scenarijų_x000D_
_x000D_
Septynioliktasis susitikimas 2025-10-09:_x000D_
* Aptarta ir suderinta dalis antro prioriteto poreikių, suderintas alternatyvus funkcinis įgyvendinimas pirminio poreikio atžvilgiu_x000D_
_x000D_
Aštuonioliktasis susitikimas 2025-10-13:_x000D_
* Aptarta ir suderinta dalis antro prioriteto poreikių, aptartos pranešimų siuntimo variacijos ir galimas alternatyvus pranešimų siuntimo metodas užklausų atveju_x000D_
_x000D_
_______________x000D_
_x000D_
Dokumento pateikimas klientui su pradiniais komentarais:_x000D_
* Klientui pateikta naujausia dokumento versija 2025-06-23_x000D_
_x000D_
Toliau vykdomas sąrašo papildymas iš kliento, atitinkamai vertinimas poreikių be iteracijos su klientu ir pateikiant trumpus atsakymus į punktus klientui._x000D_
_x000D_
_______________x000D_
_x000D_
2025-09-17:_x000D_
* Pateikta atnaujinta vertinimo lentelė su atnaujintu poreikių exceliu ir papildytais komentarais bei vertinimais_x000D_
_x000D_
2025-09-18:_x000D_
* Klientas patvirtina užsakomus 1-o prioriteto poreikius_x000D_
_x000D_
Suplanuotas pirmo prioriteto darbų grafikas:_x000D_
Pradžia: 2025-09-18_x000D_
Pabaiga: 2025-10-24_x000D_
_x000D_
2025-09-23:_x000D_
* Pradėti derinti antro prioriteto poreikiai  </t>
        </is>
      </c>
      <c r="R31" s="1" t="n">
        <v>45812</v>
      </c>
      <c r="S31" s="1" t="n"/>
      <c r="T31" t="n">
        <v>80</v>
      </c>
      <c r="U31" t="b">
        <v>0</v>
      </c>
      <c r="V31" t="n">
        <v>795</v>
      </c>
      <c r="W31" t="n">
        <v>795</v>
      </c>
      <c r="X31" t="n">
        <v>81.5</v>
      </c>
      <c r="Y31" t="n">
        <v>81.5</v>
      </c>
      <c r="Z31" t="inlineStr">
        <is>
          <t>[List]</t>
        </is>
      </c>
      <c r="AA31" t="inlineStr">
        <is>
          <t>2025-06-04T16:18:51Z</t>
        </is>
      </c>
      <c r="AC31" t="n">
        <v>90447</v>
      </c>
      <c r="AE31">
        <f>Merge1[[#This Row],[Column1.estimated_hours]] * ( Merge1[[#This Row],[Column1.done_ratio]] / 100 )</f>
        <v/>
      </c>
      <c r="AF31">
        <f>IF(Merge1[[#This Row],[Column1.spent_hours]]&gt;0, Merge1[[#This Row],[DE]]/Merge1[[#This Row],[Column1.spent_hours]], 0)</f>
        <v/>
      </c>
    </row>
    <row r="32">
      <c r="A32" t="n">
        <v>86268</v>
      </c>
      <c r="B32" t="n">
        <v>512</v>
      </c>
      <c r="C32" t="inlineStr">
        <is>
          <t>LG-D365 CRM Project</t>
        </is>
      </c>
      <c r="D32" t="n">
        <v>2</v>
      </c>
      <c r="E32" t="inlineStr">
        <is>
          <t>Feature</t>
        </is>
      </c>
      <c r="F32" t="n">
        <v>17</v>
      </c>
      <c r="G32" t="inlineStr">
        <is>
          <t>Feedback from customer</t>
        </is>
      </c>
      <c r="H32" t="b">
        <v>0</v>
      </c>
      <c r="I32" t="n">
        <v>4</v>
      </c>
      <c r="J32" t="inlineStr">
        <is>
          <t>Normal</t>
        </is>
      </c>
      <c r="K32" t="n">
        <v>830</v>
      </c>
      <c r="L32" t="inlineStr">
        <is>
          <t>EgiAsi</t>
        </is>
      </c>
      <c r="M32" t="n">
        <v>830</v>
      </c>
      <c r="N32" t="inlineStr">
        <is>
          <t>EgiAsi</t>
        </is>
      </c>
      <c r="P32" t="inlineStr">
        <is>
          <t>FR1-20250625-000 - CRM &lt;&gt; KIWI integracija</t>
        </is>
      </c>
      <c r="Q32" t="inlineStr">
        <is>
          <t xml:space="preserve">Sveiki, turim poreikį integracijai tarp CRM ir KiwiCONTACT. _x000D_
Siunčiu API dokumentaciją. URL bus https://data.cc.litrail.lt/_x000D_
_x000D_
Poreikis jau anksčiau buvo nagrinėtas su Pijumi, bet gal reiks viską pakartoti._x000D_
_x000D_
Preliminarus siekiamas rezultatas - kad paskambinus Klientui per KIWI, atsidarytų CRM Kliento kortelė ir susikurtų užklausa (jei taip galima)._x000D_
Kol kas tikslaus proceso nėra, gryninamasi, šią savaitę sugrįšiu su detalėm. _x000D_
_x000D_
Būtų gerai pasiplanuoti kitai savaitei resursus susitikimui._x000D_
</t>
        </is>
      </c>
      <c r="R32" s="1" t="n"/>
      <c r="S32" s="1" t="n"/>
      <c r="T32" t="n">
        <v>85</v>
      </c>
      <c r="U32" t="b">
        <v>0</v>
      </c>
      <c r="V32" t="n">
        <v>16</v>
      </c>
      <c r="W32" t="n">
        <v>48</v>
      </c>
      <c r="X32" t="n">
        <v>17</v>
      </c>
      <c r="Y32" t="n">
        <v>53.75</v>
      </c>
      <c r="Z32" t="inlineStr">
        <is>
          <t>[List]</t>
        </is>
      </c>
      <c r="AA32" t="inlineStr">
        <is>
          <t>2025-04-28T11:14:50Z</t>
        </is>
      </c>
      <c r="AC32" t="n">
        <v>86268</v>
      </c>
      <c r="AE32">
        <f>Merge1[[#This Row],[Column1.estimated_hours]] * ( Merge1[[#This Row],[Column1.done_ratio]] / 100 )</f>
        <v/>
      </c>
      <c r="AF32">
        <f>IF(Merge1[[#This Row],[Column1.spent_hours]]&gt;0, Merge1[[#This Row],[DE]]/Merge1[[#This Row],[Column1.spent_hours]], 0)</f>
        <v/>
      </c>
    </row>
    <row r="33">
      <c r="A33" t="n">
        <v>78569</v>
      </c>
      <c r="B33" t="n">
        <v>512</v>
      </c>
      <c r="C33" t="inlineStr">
        <is>
          <t>LG-D365 CRM Project</t>
        </is>
      </c>
      <c r="D33" t="n">
        <v>3</v>
      </c>
      <c r="E33" t="inlineStr">
        <is>
          <t>Support</t>
        </is>
      </c>
      <c r="F33" t="n">
        <v>7</v>
      </c>
      <c r="G33" t="inlineStr">
        <is>
          <t>Stalled</t>
        </is>
      </c>
      <c r="H33" t="b">
        <v>0</v>
      </c>
      <c r="I33" t="n">
        <v>4</v>
      </c>
      <c r="J33" t="inlineStr">
        <is>
          <t>Normal</t>
        </is>
      </c>
      <c r="K33" t="n">
        <v>830</v>
      </c>
      <c r="L33" t="inlineStr">
        <is>
          <t>EgiAsi</t>
        </is>
      </c>
      <c r="M33" t="n">
        <v>830</v>
      </c>
      <c r="N33" t="inlineStr">
        <is>
          <t>EgiAsi</t>
        </is>
      </c>
      <c r="P33" t="inlineStr">
        <is>
          <t>BDAR atitikties užtikrinimas</t>
        </is>
      </c>
      <c r="Q33" t="inlineStr">
        <is>
          <t xml:space="preserve">Reikalingas sprendimas, kuris užtikrintų technines ir organizacines priemones duomenims apsaugoti pagal GDPR reikalavimus, taip pat turi būti užtikrinamos suprojektuotos duomenų apsaugos ir numatytosios duomenų apsaugos principų laikymasi (BDAR 25 str.), įskaitant, bet tuo neapsiribojant, saugojimo terminų nustatymą, asmens duomenų anonimiškumą (pseudonimizavimą) ar ištrynimą automatizuotomis priemonėmis ir kt._x000D_
_x000D_
</t>
        </is>
      </c>
      <c r="R33" s="1" t="n"/>
      <c r="S33" s="1" t="n"/>
      <c r="T33" t="n">
        <v>0</v>
      </c>
      <c r="U33" t="b">
        <v>0</v>
      </c>
      <c r="X33" t="n">
        <v>0.5</v>
      </c>
      <c r="Y33" t="n">
        <v>0.5</v>
      </c>
      <c r="Z33" t="inlineStr">
        <is>
          <t>[List]</t>
        </is>
      </c>
      <c r="AA33" t="inlineStr">
        <is>
          <t>2025-01-14T07:14:33Z</t>
        </is>
      </c>
      <c r="AC33" t="n">
        <v>78569</v>
      </c>
      <c r="AE33">
        <f>Merge1[[#This Row],[Column1.estimated_hours]] * ( Merge1[[#This Row],[Column1.done_ratio]] / 100 )</f>
        <v/>
      </c>
      <c r="AF33">
        <f>IF(Merge1[[#This Row],[Column1.spent_hours]]&gt;0, Merge1[[#This Row],[DE]]/Merge1[[#This Row],[Column1.spent_hours]], 0)</f>
        <v/>
      </c>
    </row>
    <row r="34">
      <c r="A34" t="n">
        <v>78567</v>
      </c>
      <c r="B34" t="n">
        <v>512</v>
      </c>
      <c r="C34" t="inlineStr">
        <is>
          <t>LG-D365 CRM Project</t>
        </is>
      </c>
      <c r="D34" t="n">
        <v>3</v>
      </c>
      <c r="E34" t="inlineStr">
        <is>
          <t>Support</t>
        </is>
      </c>
      <c r="F34" t="n">
        <v>3</v>
      </c>
      <c r="G34" t="inlineStr">
        <is>
          <t>Resolved</t>
        </is>
      </c>
      <c r="H34" t="b">
        <v>0</v>
      </c>
      <c r="I34" t="n">
        <v>4</v>
      </c>
      <c r="J34" t="inlineStr">
        <is>
          <t>Normal</t>
        </is>
      </c>
      <c r="K34" t="n">
        <v>830</v>
      </c>
      <c r="L34" t="inlineStr">
        <is>
          <t>EgiAsi</t>
        </is>
      </c>
      <c r="M34" t="n">
        <v>830</v>
      </c>
      <c r="N34" t="inlineStr">
        <is>
          <t>EgiAsi</t>
        </is>
      </c>
      <c r="P34" t="inlineStr">
        <is>
          <t xml:space="preserve">Priedų nukrovimas iš DB </t>
        </is>
      </c>
      <c r="Q34" t="inlineStr">
        <is>
          <t xml:space="preserve">Poreikis yra susitvarkyti visokių priedų kaupimą DB, nes stoja greitaveika ir labai greit pildosi vieta._x000D_
Buvome informuoti, jog turite kažkokį sprendimą._x000D_
_x000D_
Prašau pavertinti kiek kainuotų šio sprendimo įdiegimas ir failų sutvarkymas valandomis ir laike._x000D_
</t>
        </is>
      </c>
      <c r="R34" s="1" t="n"/>
      <c r="S34" s="1" t="n"/>
      <c r="T34" t="n">
        <v>0</v>
      </c>
      <c r="U34" t="b">
        <v>0</v>
      </c>
      <c r="V34" t="n">
        <v>65</v>
      </c>
      <c r="W34" t="n">
        <v>65</v>
      </c>
      <c r="X34" t="n">
        <v>3.75</v>
      </c>
      <c r="Y34" t="n">
        <v>3.75</v>
      </c>
      <c r="Z34" t="inlineStr">
        <is>
          <t>[List]</t>
        </is>
      </c>
      <c r="AA34" t="inlineStr">
        <is>
          <t>2025-01-14T06:48:34Z</t>
        </is>
      </c>
      <c r="AC34" t="n">
        <v>78567</v>
      </c>
      <c r="AE34">
        <f>Merge1[[#This Row],[Column1.estimated_hours]] * ( Merge1[[#This Row],[Column1.done_ratio]] / 100 )</f>
        <v/>
      </c>
      <c r="AF34">
        <f>IF(Merge1[[#This Row],[Column1.spent_hours]]&gt;0, Merge1[[#This Row],[DE]]/Merge1[[#This Row],[Column1.spent_hours]], 0)</f>
        <v/>
      </c>
    </row>
    <row r="35">
      <c r="A35" t="n">
        <v>78226</v>
      </c>
      <c r="B35" t="n">
        <v>512</v>
      </c>
      <c r="C35" t="inlineStr">
        <is>
          <t>LG-D365 CRM Project</t>
        </is>
      </c>
      <c r="D35" t="n">
        <v>3</v>
      </c>
      <c r="E35" t="inlineStr">
        <is>
          <t>Support</t>
        </is>
      </c>
      <c r="F35" t="n">
        <v>3</v>
      </c>
      <c r="G35" t="inlineStr">
        <is>
          <t>Resolved</t>
        </is>
      </c>
      <c r="H35" t="b">
        <v>0</v>
      </c>
      <c r="I35" t="n">
        <v>4</v>
      </c>
      <c r="J35" t="inlineStr">
        <is>
          <t>Normal</t>
        </is>
      </c>
      <c r="K35" t="n">
        <v>996</v>
      </c>
      <c r="L35" t="inlineStr">
        <is>
          <t>VlaRaz</t>
        </is>
      </c>
      <c r="M35" t="n">
        <v>875</v>
      </c>
      <c r="N35" t="inlineStr">
        <is>
          <t>VilMat</t>
        </is>
      </c>
      <c r="P35" t="inlineStr">
        <is>
          <t>Patikrinti techninę dokumentaciją ir vartotojų vadovus</t>
        </is>
      </c>
      <c r="Q35" t="inlineStr">
        <is>
          <t xml:space="preserve">https://pm.go-erp.eu/issues/69759_x000D_
https://pm.go-erp.eu/issues/69762_x000D_
https://pm.go-erp.eu/issues/69789_x000D_
</t>
        </is>
      </c>
      <c r="R35" s="1" t="n">
        <v>45673</v>
      </c>
      <c r="S35" s="1" t="n"/>
      <c r="T35" t="n">
        <v>100</v>
      </c>
      <c r="U35" t="b">
        <v>0</v>
      </c>
      <c r="V35" t="n">
        <v>12</v>
      </c>
      <c r="W35" t="n">
        <v>12</v>
      </c>
      <c r="X35" t="n">
        <v>0</v>
      </c>
      <c r="Y35" t="n">
        <v>0</v>
      </c>
      <c r="Z35" t="inlineStr">
        <is>
          <t>[List]</t>
        </is>
      </c>
      <c r="AA35" t="inlineStr">
        <is>
          <t>2025-01-08T09:36:55Z</t>
        </is>
      </c>
      <c r="AC35" t="n">
        <v>78226</v>
      </c>
      <c r="AE35">
        <f>Merge1[[#This Row],[Column1.estimated_hours]] * ( Merge1[[#This Row],[Column1.done_ratio]] / 100 )</f>
        <v/>
      </c>
      <c r="AF35">
        <f>IF(Merge1[[#This Row],[Column1.spent_hours]]&gt;0, Merge1[[#This Row],[DE]]/Merge1[[#This Row],[Column1.spent_hours]], 0)</f>
        <v/>
      </c>
    </row>
    <row r="36">
      <c r="A36" t="n">
        <v>77348</v>
      </c>
      <c r="B36" t="n">
        <v>512</v>
      </c>
      <c r="C36" t="inlineStr">
        <is>
          <t>LG-D365 CRM Project</t>
        </is>
      </c>
      <c r="D36" t="n">
        <v>2</v>
      </c>
      <c r="E36" t="inlineStr">
        <is>
          <t>Feature</t>
        </is>
      </c>
      <c r="F36" t="n">
        <v>7</v>
      </c>
      <c r="G36" t="inlineStr">
        <is>
          <t>Stalled</t>
        </is>
      </c>
      <c r="H36" t="b">
        <v>0</v>
      </c>
      <c r="I36" t="n">
        <v>4</v>
      </c>
      <c r="J36" t="inlineStr">
        <is>
          <t>Normal</t>
        </is>
      </c>
      <c r="K36" t="n">
        <v>875</v>
      </c>
      <c r="L36" t="inlineStr">
        <is>
          <t>VilMat</t>
        </is>
      </c>
      <c r="M36" t="n">
        <v>830</v>
      </c>
      <c r="N36" t="inlineStr">
        <is>
          <t>EgiAsi</t>
        </is>
      </c>
      <c r="P36" t="inlineStr">
        <is>
          <t>Pridėti papildomą parinktį užklausos laukelyje "Pretenzijos nepagrįstumo priežastis"</t>
        </is>
      </c>
      <c r="Q36" t="inlineStr">
        <is>
          <t xml:space="preserve">Poreikis:_x000D_
Papildyti: Pretenzija teikiama klientui_x000D_
_x000D_
Techninis išpildymas:_x000D_
* Modifikuojamas laukelis: Pretenzijos nepagrįstumo priežastis (Label: Claim rejection reaso; logical: ey_claimrejectionreason)_x000D_
* Laukelis papildomas pasirinkimu: Pretenzija teikiama klientui (Angl. Claim applied to customer)_x000D_
* Modifikacijos atliekamos modulyje: Užklausos (Angl.Cases)_x000D_
_x000D_
Vertinimas:_x000D_
* Laukelio modifikacijos - 0.5val._x000D_
* Testavimas trijose aplinkose - 1val._x000D_
* Modifikacijų pernešimas į TEST ir PROD aplinkas - 2 val._x000D_
* *VISO: 3,5val. darbų*_x000D_
_x000D_
In-Scope:_x000D_
* Claim rejection reason laukelio papildymas papildomu pasirinkimu_x000D_
* Testavimas DEV, TEST, PROD aplinkose_x000D_
* Modifikacijų migravimas iš DEV į TEST ir PROD aplinkas_x000D_
* Laukelio vertimo į lietuvių kalbą aplikavimas_x000D_
_x000D_
Out-of-scope:_x000D_
* Bet kokių techninių dokumentų kūrimas/papildymas_x000D_
* Laukelio tipo keitimas_x000D_
* Esamų parinkčių šalinimas_x000D_
* Kitų nesuderintų parinkčių papildymas_x000D_
_x000D_
!clipboard-202412101600-i4jym.png!_x000D_
</t>
        </is>
      </c>
      <c r="R36" s="1" t="n"/>
      <c r="S36" s="1" t="n"/>
      <c r="T36" t="n">
        <v>0</v>
      </c>
      <c r="U36" t="b">
        <v>0</v>
      </c>
      <c r="V36" t="n">
        <v>3.5</v>
      </c>
      <c r="W36" t="n">
        <v>3.5</v>
      </c>
      <c r="X36" t="n">
        <v>0.5</v>
      </c>
      <c r="Y36" t="n">
        <v>0.5</v>
      </c>
      <c r="Z36" t="inlineStr">
        <is>
          <t>[List]</t>
        </is>
      </c>
      <c r="AA36" t="inlineStr">
        <is>
          <t>2024-12-10T14:10:18Z</t>
        </is>
      </c>
      <c r="AC36" t="n">
        <v>77348</v>
      </c>
      <c r="AE36">
        <f>Merge1[[#This Row],[Column1.estimated_hours]] * ( Merge1[[#This Row],[Column1.done_ratio]] / 100 )</f>
        <v/>
      </c>
      <c r="AF36">
        <f>IF(Merge1[[#This Row],[Column1.spent_hours]]&gt;0, Merge1[[#This Row],[DE]]/Merge1[[#This Row],[Column1.spent_hours]], 0)</f>
        <v/>
      </c>
    </row>
    <row r="37">
      <c r="A37" t="n">
        <v>76336</v>
      </c>
      <c r="B37" t="n">
        <v>512</v>
      </c>
      <c r="C37" t="inlineStr">
        <is>
          <t>LG-D365 CRM Project</t>
        </is>
      </c>
      <c r="D37" t="n">
        <v>2</v>
      </c>
      <c r="E37" t="inlineStr">
        <is>
          <t>Feature</t>
        </is>
      </c>
      <c r="F37" t="n">
        <v>3</v>
      </c>
      <c r="G37" t="inlineStr">
        <is>
          <t>Resolved</t>
        </is>
      </c>
      <c r="H37" t="b">
        <v>0</v>
      </c>
      <c r="I37" t="n">
        <v>4</v>
      </c>
      <c r="J37" t="inlineStr">
        <is>
          <t>Normal</t>
        </is>
      </c>
      <c r="K37" t="n">
        <v>875</v>
      </c>
      <c r="L37" t="inlineStr">
        <is>
          <t>VilMat</t>
        </is>
      </c>
      <c r="M37" t="n">
        <v>875</v>
      </c>
      <c r="N37" t="inlineStr">
        <is>
          <t>VilMat</t>
        </is>
      </c>
      <c r="P37" t="inlineStr">
        <is>
          <t>FR - Užduočių(Task) ir Užklausų(Case) modulių modifikacijos</t>
        </is>
      </c>
      <c r="R37" s="1" t="n"/>
      <c r="S37" s="1" t="n"/>
      <c r="T37" t="n">
        <v>100</v>
      </c>
      <c r="U37" t="b">
        <v>0</v>
      </c>
      <c r="W37" t="n">
        <v>462.5</v>
      </c>
      <c r="X37" t="n">
        <v>2.25</v>
      </c>
      <c r="Y37" t="n">
        <v>687.4</v>
      </c>
      <c r="Z37" t="inlineStr">
        <is>
          <t>[List]</t>
        </is>
      </c>
      <c r="AA37" t="inlineStr">
        <is>
          <t>2024-11-29T16:09:16Z</t>
        </is>
      </c>
      <c r="AC37" t="n">
        <v>76336</v>
      </c>
      <c r="AE37">
        <f>Merge1[[#This Row],[Column1.estimated_hours]] * ( Merge1[[#This Row],[Column1.done_ratio]] / 100 )</f>
        <v/>
      </c>
      <c r="AF37">
        <f>IF(Merge1[[#This Row],[Column1.spent_hours]]&gt;0, Merge1[[#This Row],[DE]]/Merge1[[#This Row],[Column1.spent_hours]], 0)</f>
        <v/>
      </c>
    </row>
    <row r="38">
      <c r="A38" t="n">
        <v>67630</v>
      </c>
      <c r="B38" t="n">
        <v>512</v>
      </c>
      <c r="C38" t="inlineStr">
        <is>
          <t>LG-D365 CRM Project</t>
        </is>
      </c>
      <c r="D38" t="n">
        <v>2</v>
      </c>
      <c r="E38" t="inlineStr">
        <is>
          <t>Feature</t>
        </is>
      </c>
      <c r="F38" t="n">
        <v>3</v>
      </c>
      <c r="G38" t="inlineStr">
        <is>
          <t>Resolved</t>
        </is>
      </c>
      <c r="H38" t="b">
        <v>0</v>
      </c>
      <c r="I38" t="n">
        <v>4</v>
      </c>
      <c r="J38" t="inlineStr">
        <is>
          <t>Normal</t>
        </is>
      </c>
      <c r="K38" t="n">
        <v>875</v>
      </c>
      <c r="L38" t="inlineStr">
        <is>
          <t>VilMat</t>
        </is>
      </c>
      <c r="M38" t="n">
        <v>830</v>
      </c>
      <c r="N38" t="inlineStr">
        <is>
          <t>EgiAsi</t>
        </is>
      </c>
      <c r="P38" t="inlineStr">
        <is>
          <t>Teams Adaptive Cards - Pakartotiniai pranešimai nurodytam asmeniui į Teams apie tą pačią užduotį</t>
        </is>
      </c>
      <c r="Q38" t="inlineStr">
        <is>
          <t>Labas, gal jau klausiau bet noriu užsitvirtinti: ar techniškai įmanoma padaryti Teams tipo užduotis (kai Teams iššoka su flow) daugkartines? t.y. dabar sukūrus tokią gauna nelicencijuotas asmuo į Teams ir gali atsakyti ir užduotis užsidaro. Ar ją galima esant poreikiui tikslintis informaciją atidarinėti/ inicijuoti daug kartų tą pačią - kol tiks atsakymas? Iškviesti tą flow vėl ir vėl kaip suprantu reikia. Nes dabar jei gavau atsakymą, daugiau neina panaudot tos užduoties._x000D_
Egidijus</t>
        </is>
      </c>
      <c r="R38" s="1" t="n">
        <v>45405</v>
      </c>
      <c r="S38" s="1" t="n"/>
      <c r="T38" t="n">
        <v>100</v>
      </c>
      <c r="U38" t="b">
        <v>0</v>
      </c>
      <c r="X38" t="n">
        <v>1.75</v>
      </c>
      <c r="Y38" t="n">
        <v>1.75</v>
      </c>
      <c r="Z38" t="inlineStr">
        <is>
          <t>[List]</t>
        </is>
      </c>
      <c r="AA38" t="inlineStr">
        <is>
          <t>2024-04-23T13:30:53Z</t>
        </is>
      </c>
      <c r="AC38" t="n">
        <v>67630</v>
      </c>
      <c r="AE38">
        <f>Merge1[[#This Row],[Column1.estimated_hours]] * ( Merge1[[#This Row],[Column1.done_ratio]] / 100 )</f>
        <v/>
      </c>
      <c r="AF38">
        <f>IF(Merge1[[#This Row],[Column1.spent_hours]]&gt;0, Merge1[[#This Row],[DE]]/Merge1[[#This Row],[Column1.spent_hours]], 0)</f>
        <v/>
      </c>
    </row>
    <row r="39">
      <c r="A39" t="n">
        <v>67288</v>
      </c>
      <c r="B39" t="n">
        <v>512</v>
      </c>
      <c r="C39" t="inlineStr">
        <is>
          <t>LG-D365 CRM Project</t>
        </is>
      </c>
      <c r="D39" t="n">
        <v>3</v>
      </c>
      <c r="E39" t="inlineStr">
        <is>
          <t>Support</t>
        </is>
      </c>
      <c r="F39" t="n">
        <v>6</v>
      </c>
      <c r="G39" t="inlineStr">
        <is>
          <t>Rejected</t>
        </is>
      </c>
      <c r="H39" t="b">
        <v>0</v>
      </c>
      <c r="I39" t="n">
        <v>4</v>
      </c>
      <c r="J39" t="inlineStr">
        <is>
          <t>Normal</t>
        </is>
      </c>
      <c r="K39" t="n">
        <v>830</v>
      </c>
      <c r="L39" t="inlineStr">
        <is>
          <t>EgiAsi</t>
        </is>
      </c>
      <c r="M39" t="n">
        <v>830</v>
      </c>
      <c r="N39" t="inlineStr">
        <is>
          <t>EgiAsi</t>
        </is>
      </c>
      <c r="P39" t="inlineStr">
        <is>
          <t>Rizikos vertinimo lauko užkeitimas</t>
        </is>
      </c>
      <c r="Q39" t="inlineStr">
        <is>
          <t xml:space="preserve">Sveiki, atsirado poreikis praplėsti rizikos verinimo būseną papildomu pasirinkimu, tačiau dabartinis tipas yra pasirinkimas iš dviejų._x000D_
Prašau pavertinti kiek kainuotų sukurti analogišką lauką su iškrentačiu meniu (daugiau nei 2 reikšmių sąrašas) ir kada galėtumėte realizuoti. _x000D_
Bus reikalingas duomenų sumapinimas ir užkėlimas ant naujo pasirinkimo jau sukurtiems/istoriniams duomenims._x000D_
_x000D_
_x000D_
</t>
        </is>
      </c>
      <c r="R39" s="1" t="n">
        <v>45398</v>
      </c>
      <c r="S39" s="1" t="n"/>
      <c r="T39" t="n">
        <v>0</v>
      </c>
      <c r="U39" t="b">
        <v>0</v>
      </c>
      <c r="X39" t="n">
        <v>1.75</v>
      </c>
      <c r="Y39" t="n">
        <v>1.75</v>
      </c>
      <c r="Z39" t="inlineStr">
        <is>
          <t>[List]</t>
        </is>
      </c>
      <c r="AA39" t="inlineStr">
        <is>
          <t>2024-04-15T12:22:12Z</t>
        </is>
      </c>
      <c r="AC39" t="n">
        <v>67288</v>
      </c>
      <c r="AE39">
        <f>Merge1[[#This Row],[Column1.estimated_hours]] * ( Merge1[[#This Row],[Column1.done_ratio]] / 100 )</f>
        <v/>
      </c>
      <c r="AF39">
        <f>IF(Merge1[[#This Row],[Column1.spent_hours]]&gt;0, Merge1[[#This Row],[DE]]/Merge1[[#This Row],[Column1.spent_hours]], 0)</f>
        <v/>
      </c>
    </row>
    <row r="40">
      <c r="A40" t="n">
        <v>65707</v>
      </c>
      <c r="B40" t="n">
        <v>512</v>
      </c>
      <c r="C40" t="inlineStr">
        <is>
          <t>LG-D365 CRM Project</t>
        </is>
      </c>
      <c r="D40" t="n">
        <v>3</v>
      </c>
      <c r="E40" t="inlineStr">
        <is>
          <t>Support</t>
        </is>
      </c>
      <c r="F40" t="n">
        <v>2</v>
      </c>
      <c r="G40" t="inlineStr">
        <is>
          <t>In Progress</t>
        </is>
      </c>
      <c r="H40" t="b">
        <v>0</v>
      </c>
      <c r="I40" t="n">
        <v>4</v>
      </c>
      <c r="J40" t="inlineStr">
        <is>
          <t>Normal</t>
        </is>
      </c>
      <c r="K40" t="n">
        <v>827</v>
      </c>
      <c r="L40" t="inlineStr">
        <is>
          <t>PijUog</t>
        </is>
      </c>
      <c r="P40" t="inlineStr">
        <is>
          <t>Administravimas ir darbų koordinavimas</t>
        </is>
      </c>
      <c r="R40" s="1" t="n">
        <v>45292</v>
      </c>
      <c r="S40" s="1" t="n"/>
      <c r="T40" t="n">
        <v>0</v>
      </c>
      <c r="U40" t="b">
        <v>0</v>
      </c>
      <c r="X40" t="n">
        <v>8.529999999999999</v>
      </c>
      <c r="Y40" t="n">
        <v>8.529999999999999</v>
      </c>
      <c r="Z40" t="inlineStr">
        <is>
          <t>[List]</t>
        </is>
      </c>
      <c r="AA40" t="inlineStr">
        <is>
          <t>2024-02-21T09:23:07Z</t>
        </is>
      </c>
      <c r="AC40" t="n">
        <v>65707</v>
      </c>
      <c r="AE40">
        <f>Merge1[[#This Row],[Column1.estimated_hours]] * ( Merge1[[#This Row],[Column1.done_ratio]] / 100 )</f>
        <v/>
      </c>
      <c r="AF40">
        <f>IF(Merge1[[#This Row],[Column1.spent_hours]]&gt;0, Merge1[[#This Row],[DE]]/Merge1[[#This Row],[Column1.spent_hours]], 0)</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40"/>
  <sheetViews>
    <sheetView workbookViewId="0">
      <selection activeCell="B11" sqref="B11"/>
    </sheetView>
  </sheetViews>
  <sheetFormatPr baseColWidth="8" defaultRowHeight="15"/>
  <cols>
    <col width="13.7109375" bestFit="1" customWidth="1" style="17" min="1" max="1"/>
    <col width="36.85546875" bestFit="1" customWidth="1" style="17" min="2" max="2"/>
  </cols>
  <sheetData>
    <row r="1">
      <c r="A1" t="inlineStr">
        <is>
          <t>Column1.id</t>
        </is>
      </c>
      <c r="B1" t="inlineStr">
        <is>
          <t>Column1.custom_fields.sprint.value</t>
        </is>
      </c>
    </row>
    <row r="2">
      <c r="A2" t="n">
        <v>99745</v>
      </c>
      <c r="B2" t="inlineStr">
        <is>
          <t>FR3-SPRINT_1</t>
        </is>
      </c>
    </row>
    <row r="3">
      <c r="A3" t="n">
        <v>99744</v>
      </c>
      <c r="B3" t="inlineStr">
        <is>
          <t>FR3-SPRINT_1</t>
        </is>
      </c>
    </row>
    <row r="4">
      <c r="A4" t="n">
        <v>99743</v>
      </c>
      <c r="B4" t="inlineStr">
        <is>
          <t>FR3-SPRINT_1</t>
        </is>
      </c>
    </row>
    <row r="5">
      <c r="A5" t="n">
        <v>99742</v>
      </c>
      <c r="B5" t="inlineStr">
        <is>
          <t>FR3-SPRINT_1</t>
        </is>
      </c>
    </row>
    <row r="6">
      <c r="A6" t="n">
        <v>99741</v>
      </c>
      <c r="B6" t="inlineStr">
        <is>
          <t>FR3-SPRINT_1</t>
        </is>
      </c>
    </row>
    <row r="7">
      <c r="A7" t="n">
        <v>99740</v>
      </c>
      <c r="B7" t="inlineStr">
        <is>
          <t>FR3-SPRINT_1</t>
        </is>
      </c>
    </row>
    <row r="8">
      <c r="A8" t="n">
        <v>99739</v>
      </c>
      <c r="B8" t="inlineStr">
        <is>
          <t>FR3-SPRINT_1</t>
        </is>
      </c>
    </row>
    <row r="9">
      <c r="A9" t="n">
        <v>99738</v>
      </c>
      <c r="B9" t="inlineStr">
        <is>
          <t>FR3-SPRINT_1</t>
        </is>
      </c>
    </row>
    <row r="10">
      <c r="A10" t="n">
        <v>99737</v>
      </c>
      <c r="B10" t="inlineStr">
        <is>
          <t>FR3-SPRINT_1</t>
        </is>
      </c>
    </row>
    <row r="11">
      <c r="A11" t="n">
        <v>99736</v>
      </c>
      <c r="B11" t="inlineStr">
        <is>
          <t>FR3-SPRINT_1</t>
        </is>
      </c>
    </row>
    <row r="12">
      <c r="A12" t="n">
        <v>99735</v>
      </c>
      <c r="B12" t="inlineStr">
        <is>
          <t>FR3-SPRINT_1</t>
        </is>
      </c>
    </row>
    <row r="13">
      <c r="A13" t="n">
        <v>99716</v>
      </c>
      <c r="B13" t="inlineStr">
        <is>
          <t>FR3-SPRINT_1</t>
        </is>
      </c>
    </row>
    <row r="14">
      <c r="A14" t="n">
        <v>96243</v>
      </c>
      <c r="B14" t="inlineStr">
        <is>
          <t>FR3-SPRINT_1</t>
        </is>
      </c>
    </row>
    <row r="15">
      <c r="A15" t="n">
        <v>96242</v>
      </c>
      <c r="B15" t="inlineStr">
        <is>
          <t>FR3-SPRINT_1</t>
        </is>
      </c>
    </row>
    <row r="16">
      <c r="A16" t="n">
        <v>96239</v>
      </c>
      <c r="B16" t="inlineStr">
        <is>
          <t>FR3-SPRINT_1</t>
        </is>
      </c>
    </row>
    <row r="17">
      <c r="A17" t="n">
        <v>96237</v>
      </c>
    </row>
    <row r="18">
      <c r="A18" t="n">
        <v>96235</v>
      </c>
      <c r="B18" t="inlineStr">
        <is>
          <t>FR3-SPRINT_1</t>
        </is>
      </c>
    </row>
    <row r="19">
      <c r="A19" t="n">
        <v>96220</v>
      </c>
      <c r="B19" t="inlineStr">
        <is>
          <t>FR3-SPRINT_1</t>
        </is>
      </c>
    </row>
    <row r="20">
      <c r="A20" t="n">
        <v>96218</v>
      </c>
      <c r="B20" t="inlineStr">
        <is>
          <t>FR3-SPRINT_1</t>
        </is>
      </c>
    </row>
    <row r="21">
      <c r="A21" t="n">
        <v>96216</v>
      </c>
    </row>
    <row r="22">
      <c r="A22" t="n">
        <v>96215</v>
      </c>
    </row>
    <row r="23">
      <c r="A23" t="n">
        <v>96214</v>
      </c>
    </row>
    <row r="24">
      <c r="A24" t="n">
        <v>96213</v>
      </c>
    </row>
    <row r="25">
      <c r="A25" t="n">
        <v>96210</v>
      </c>
    </row>
    <row r="26">
      <c r="A26" t="n">
        <v>96064</v>
      </c>
    </row>
    <row r="27">
      <c r="A27" t="n">
        <v>94099</v>
      </c>
    </row>
    <row r="28">
      <c r="A28" t="n">
        <v>94020</v>
      </c>
    </row>
    <row r="29">
      <c r="A29" t="n">
        <v>91467</v>
      </c>
    </row>
    <row r="30">
      <c r="A30" t="n">
        <v>91466</v>
      </c>
    </row>
    <row r="31">
      <c r="A31" t="n">
        <v>90447</v>
      </c>
    </row>
    <row r="32">
      <c r="A32" t="n">
        <v>86268</v>
      </c>
    </row>
    <row r="33">
      <c r="A33" t="n">
        <v>78569</v>
      </c>
    </row>
    <row r="34">
      <c r="A34" t="n">
        <v>78567</v>
      </c>
    </row>
    <row r="35">
      <c r="A35" t="n">
        <v>78226</v>
      </c>
    </row>
    <row r="36">
      <c r="A36" t="n">
        <v>77348</v>
      </c>
    </row>
    <row r="37">
      <c r="A37" t="n">
        <v>76336</v>
      </c>
    </row>
    <row r="38">
      <c r="A38" t="n">
        <v>67630</v>
      </c>
    </row>
    <row r="39">
      <c r="A39" t="n">
        <v>67288</v>
      </c>
    </row>
    <row r="40">
      <c r="A40" t="n">
        <v>65707</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B40"/>
  <sheetViews>
    <sheetView topLeftCell="P1" workbookViewId="0">
      <selection activeCell="D11" sqref="D11"/>
    </sheetView>
  </sheetViews>
  <sheetFormatPr baseColWidth="8" defaultRowHeight="15"/>
  <cols>
    <col width="13.7109375" bestFit="1" customWidth="1" style="17" min="1" max="1"/>
    <col width="21" bestFit="1" customWidth="1" style="17" min="2" max="2"/>
    <col width="24.42578125" bestFit="1" customWidth="1" style="17" min="3" max="3"/>
    <col width="20.85546875" bestFit="1" customWidth="1" style="17" min="4" max="4"/>
    <col width="24.28515625" bestFit="1" customWidth="1" style="17" min="5" max="5"/>
    <col width="20.140625" bestFit="1" customWidth="1" style="17" min="6" max="6"/>
    <col width="23.42578125" bestFit="1" customWidth="1" style="17" min="7" max="7"/>
    <col width="27" bestFit="1" customWidth="1" style="17" min="8" max="8"/>
    <col width="21.140625" bestFit="1" customWidth="1" style="17" min="9" max="9"/>
    <col width="24.5703125" bestFit="1" customWidth="1" style="17" min="10" max="10"/>
    <col width="20.42578125" bestFit="1" customWidth="1" style="17" min="11" max="11"/>
    <col width="23.85546875" bestFit="1" customWidth="1" style="17" min="12" max="12"/>
    <col width="25.42578125" bestFit="1" customWidth="1" style="17" min="13" max="13"/>
    <col width="28.85546875" bestFit="1" customWidth="1" style="17" min="14" max="14"/>
    <col width="20.42578125" bestFit="1" customWidth="1" style="17" min="15" max="15"/>
    <col width="81.140625" bestFit="1" customWidth="1" style="17" min="16" max="17"/>
    <col width="21.28515625" bestFit="1" customWidth="1" style="17" min="18" max="18"/>
    <col width="20.5703125" bestFit="1" customWidth="1" style="17" min="19" max="19"/>
    <col width="21.85546875" bestFit="1" customWidth="1" style="17" min="20" max="20"/>
    <col width="21" bestFit="1" customWidth="1" style="17" min="21" max="21"/>
    <col width="27.5703125" bestFit="1" customWidth="1" style="17" min="22" max="22"/>
    <col width="32.85546875" bestFit="1" customWidth="1" style="17" min="23" max="23"/>
    <col width="23.42578125" bestFit="1" customWidth="1" style="17" min="24" max="24"/>
    <col width="28.7109375" bestFit="1" customWidth="1" style="17" min="25" max="25"/>
    <col width="25.140625" bestFit="1" customWidth="1" style="17" min="26" max="26"/>
    <col width="22.28515625" bestFit="1" customWidth="1" style="17" min="27" max="27"/>
    <col width="21.42578125" bestFit="1" customWidth="1" style="17" min="28" max="28"/>
  </cols>
  <sheetData>
    <row r="1">
      <c r="A1" t="inlineStr">
        <is>
          <t>Column1.id</t>
        </is>
      </c>
      <c r="B1" t="inlineStr">
        <is>
          <t>Column1.project.id</t>
        </is>
      </c>
      <c r="C1" t="inlineStr">
        <is>
          <t>Column1.project.name</t>
        </is>
      </c>
      <c r="D1" t="inlineStr">
        <is>
          <t>Column1.tracker.id</t>
        </is>
      </c>
      <c r="E1" t="inlineStr">
        <is>
          <t>Column1.tracker.name</t>
        </is>
      </c>
      <c r="F1" t="inlineStr">
        <is>
          <t>Column1.status.id</t>
        </is>
      </c>
      <c r="G1" t="inlineStr">
        <is>
          <t>Column1.status.name</t>
        </is>
      </c>
      <c r="H1" t="inlineStr">
        <is>
          <t>Column1.status.is_closed</t>
        </is>
      </c>
      <c r="I1" t="inlineStr">
        <is>
          <t>Column1.priority.id</t>
        </is>
      </c>
      <c r="J1" t="inlineStr">
        <is>
          <t>Column1.priority.name</t>
        </is>
      </c>
      <c r="K1" t="inlineStr">
        <is>
          <t>Column1.author.id</t>
        </is>
      </c>
      <c r="L1" t="inlineStr">
        <is>
          <t>Column1.author.name</t>
        </is>
      </c>
      <c r="M1" t="inlineStr">
        <is>
          <t>Column1.assigned_to.id</t>
        </is>
      </c>
      <c r="N1" t="inlineStr">
        <is>
          <t>Column1.assigned_to.name</t>
        </is>
      </c>
      <c r="O1" t="inlineStr">
        <is>
          <t>Column1.parent.id</t>
        </is>
      </c>
      <c r="P1" t="inlineStr">
        <is>
          <t>Column1.subject</t>
        </is>
      </c>
      <c r="Q1" t="inlineStr">
        <is>
          <t>Column1.description</t>
        </is>
      </c>
      <c r="R1" t="inlineStr">
        <is>
          <t>Column1.start_date</t>
        </is>
      </c>
      <c r="S1" t="inlineStr">
        <is>
          <t>Column1.due_date</t>
        </is>
      </c>
      <c r="T1" t="inlineStr">
        <is>
          <t>Column1.done_ratio</t>
        </is>
      </c>
      <c r="U1" t="inlineStr">
        <is>
          <t>Column1.is_private</t>
        </is>
      </c>
      <c r="V1" t="inlineStr">
        <is>
          <t>Column1.estimated_hours</t>
        </is>
      </c>
      <c r="W1" t="inlineStr">
        <is>
          <t>Column1.total_estimated_hours</t>
        </is>
      </c>
      <c r="X1" t="inlineStr">
        <is>
          <t>Column1.spent_hours</t>
        </is>
      </c>
      <c r="Y1" t="inlineStr">
        <is>
          <t>Column1.total_spent_hours</t>
        </is>
      </c>
      <c r="Z1" t="inlineStr">
        <is>
          <t>Column1.custom_fields</t>
        </is>
      </c>
      <c r="AA1" t="inlineStr">
        <is>
          <t>Column1.created_on</t>
        </is>
      </c>
      <c r="AB1" t="inlineStr">
        <is>
          <t>Column1.closed_on</t>
        </is>
      </c>
    </row>
    <row r="2">
      <c r="A2" t="n">
        <v>99745</v>
      </c>
      <c r="B2" t="n">
        <v>512</v>
      </c>
      <c r="C2" t="inlineStr">
        <is>
          <t>LG-D365 CRM Project</t>
        </is>
      </c>
      <c r="D2" t="n">
        <v>2</v>
      </c>
      <c r="E2" t="inlineStr">
        <is>
          <t>Feature</t>
        </is>
      </c>
      <c r="F2" t="n">
        <v>2</v>
      </c>
      <c r="G2" t="inlineStr">
        <is>
          <t>In Progress</t>
        </is>
      </c>
      <c r="H2" t="b">
        <v>0</v>
      </c>
      <c r="I2" t="n">
        <v>4</v>
      </c>
      <c r="J2" t="inlineStr">
        <is>
          <t>Normal</t>
        </is>
      </c>
      <c r="K2" t="n">
        <v>875</v>
      </c>
      <c r="L2" t="inlineStr">
        <is>
          <t>VilMat</t>
        </is>
      </c>
      <c r="M2" t="n">
        <v>821</v>
      </c>
      <c r="N2" t="inlineStr">
        <is>
          <t>GabKoj</t>
        </is>
      </c>
      <c r="O2" t="n">
        <v>96214</v>
      </c>
      <c r="P2" t="inlineStr">
        <is>
          <t>FR3-SPRINT_1-017 - Queue/Queue Items &gt; Convert To Case - Account suradimas ir užpildymas į lookup laukelį</t>
        </is>
      </c>
      <c r="Q2" t="inlineStr">
        <is>
          <t>h1. Poreikis:_x000D_
_x000D_
Sistema turi automatiškai atpažinti įeinančius laiškus pagal domeną (….@domenas.lt) ir parinkti Klientą jei toks yra sistemoje pagal jį, kuriant kitus objektus._x000D_
Bendrinės pašto dėžutės pagal numatytas komandas gauna kliento laiškus į CRM eiles. Laišką konvertuoja į užklausą. Konvertuojant į užklausą reikia rankiniu būdu pasirinkti Klientą. Reikia, kad būtų:_x000D_
1. Jeigu klientas suvestas į CRM pagal domeną įvestų klientą automatiškai.  _x000D_
2. Jeigu nėra įvesta kliento CRM palikti kaip yra dabar t.y. pasirinkimas iš sąrašo._x000D_
3. Turėtų būti galimybė klientą pakeisti ran*kiniu būdu._x000D_
4. Pasirinkimui duotų tik įrašus iš objekto Klientai (neduotų sąrašo iš objekto Kontaktai)._x000D_
Tas pats turėtų būti konvertuojant į galimybes._x000D_
Dedikuoti asmenys dirba per įskiepį (nukreipia laiškus į CRM, tas pats turėtų galioti kuriant užklausą/galimybę per outlook įskiepį._x000D_
_x000D_
_x000D_
h1. Patvirtintas poreikis:_x000D_
_x000D_
Konvertuojant laišką į užklausą:_x000D_
* Kliento ieško iš aktyvių/įjungtų klientų įrašų. (Account Active/ inactive)_x000D_
* Jeigu klientą randa pagal "nuo" adresato domeną automatšikai užpildo kliento laukelį._x000D_
* Jeigu neranda lieka tuščia vieta, pateikiamas sąrašas._x000D_
* Rankiniu būdu yra galimybė pakeisti klientą._x000D_
* Pasirinkimui duotų tik įrašus iš objekto Klientai (neduotųi sąrašo iš objekto Kontaktai)._x000D_
* Jeigu randamas daugiau nei vienas Klientasi su identišku el. paštu tuomet nepildyti kliento laukelio (Convert to case paspaudimo metu)_x000D_
_x000D_
h1. Atliekamos modifikacijos:_x000D_
_x000D_
*&lt;pre&gt;_x000D_
Modifikacijų sprendinio šaltinis: LTG_CRM - #96210 FR3-SPRINT1 System Customizations_x000D_
&lt;/pre&gt;*_x000D_
_x000D_
*Modifikacijų atlikimo vieta sistemoje:*_x000D_
* Emails_x000D_
* 'Convert To Case' funkcijos langas_x000D_
_x000D_
______x000D_
_x000D_
*Modifikacijos tęstinės - Pirma dalis žemiau*_x000D_
*Antra dalis: #99744*_x000D_
_x000D_
______x000D_
_x000D_
*'Convert To Case' funkcijos langas:*_x000D_
* Esamas laukas 'Customer' pervadinamas į 'Account'(LT: Klientas)_x000D_
* Esamo lauko filtras nustatomas atvaizduoti tik 'Active' statuso 'Account' įrašus_x000D_
_x000D_
*Veikimo eiga (Convert to Case lange):*_x000D_
* Vartotojui paspaudus 'Convert to Case' el. laiško įraše, sistema atidaro konvertavimo langą._x000D_
* Užkrovimo metu (on load event) sistema inicijuoja tikrinimą pagal el. laiško 'From' laukelio el. pašto adresą._x000D_
* Sistema tikrina:_x000D_
** Ar 'Email.From' atitinka kokį nors 'Account.EmailAddress1' lauką CRM sistemoje._x000D_
** Filtruojami tik 'Active' Account įrašai (statecode = Active)._x000D_
* Jei randa tik vieną atitinkantį aktyvų Account:_x000D_
** Automatiškai užpildo 'Account' lauką 'Convert to Case' lange._x000D_
* Jei randa kelis Account įrašus su tuo pačiu el. paštu:_x000D_
** Neužpildo 'Account' lauko – paliekamas tuščias, vartotojas pasirenka rankiniu būdu._x000D_
* Jei neranda jokio 'Account' su tokiu el. paštu:_x000D_
** 'Account' laukas lieka tuščias._x000D_
* Jei el. pašto adresas priklauso tik 'Contact' įrašui:_x000D_
** Sistema nepildo 'Account' lauko (Contact entitetas neįtraukiamas į paiešką)._x000D_
* Vartotojas visada gali rankiniu būdu pasirinkti kitą 'Account' iš sąrašo, tačiau:_x000D_
** Sąrašas turi rodyti tik 'Account' tipo įrašus (ne Kontaktus)._x000D_
_x000D_
*Taisyklės:*_x000D_
_x000D_
| # | Sąlyga                                              | Veiksmas                               | Rezultatas                       |_x000D_
| - | --------------------------------------------------- | -------------------------------------- | -------------------------------- |_x000D_
| 1 | Vienas aktyvus Account su sutampančiu EmailAddress1 | Užpildyti Account lauką lange          | Account užpildytas automatiškai  |_x000D_
| 2 | Keli aktyvūs Account su tuo pačiu el. paštu         | Neužpildyti Account lauko              | Paliekamas tuščias               |_x000D_
| 3 | Nerasta atitiktis jokiam Account                    | Neužpildyti Account lauko              | Paliekamas tuščias               |_x000D_
| 4 | El. paštas priklauso Contact įrašui                 | Nepildyti Account lauko                | Paliekamas tuščias               |_x000D_
| 5 | Vartotojas pakeičia Account rankiniu būdu           | Leisti pasirinkti tik iš Account įrašų | Užtikrinta duomenų konsistencija |_x000D_
_x000D_
*Techninė (DEV) logika:*_x000D_
* Veikimas inicijuojamas Convert to Case dialogo užkrovimo metu (on load event)._x000D_
* Įgyvendinimo būdai:_x000D_
** (DEV) JavaScript (form script) arba plugin (pre-conversion event handler)._x000D_
* Logikos eiga:_x000D_
** Gauti Email.From reikšmę (siuntėjo adresą)._x000D_
** Užklausa į Account modulį:_x000D_
** Filtras:_x000D_
*** EmailAddress1 = Email.From_x000D_
*** StateCode = Active_x000D_
** Jei rezultatų = 1 → nustatyti Account lookup lauką su rasto įrašo ID ir pavadinimu._x000D_
** Jei rezultatų &gt;1 arba =0 → palikti lauką tuščią._x000D_
* Lookup filtre leidžiama rinktis tik Account tipo įrašus (entityfilter: account)._x000D_
_x000D_
*Testavimo scenarijai:*_x000D_
_x000D_
| # | Testavimo Scenarijus                         | Reikšmė/Sąlyga                                                | Planuojamas rezultatas                                       |_x000D_
| - | ------------------------------------------- | ---------------------------------------------------------------- | ----------------------------------------------------- |_x000D_
| 1 | Vienas aktyvus Account su tokiu el. paštu   | Email.From = [client@company.com](mailto:client@company.com)     | Convert to Case lange Account automatiškai užpildytas |_x000D_
| 2 | Keli aktyvūs Account su tuo pačiu el. paštu | Email.From = [duplicate@domain.com](mailto:duplicate@domain.com) | Account laukas lieka tuščias                          |_x000D_
| 3 | Account įrašas neaktyvus                    | Email.From = [old@inactive.com](mailto:old@inactive.com)         | Account laukas lieka tuščias                          |_x000D_
| 4 | El. paštas priklauso Contact įrašui         | Email.From = [person@contact.com](mailto:person@contact.com)     | Account laukas lieka tuščias                          |_x000D_
| 5 | El. paštas neatpažintas sistemoje           | Email.From = [unknown@domain.com](mailto:unknown@domain.com)     | Account laukas lieka tuščias                          |_x000D_
| 6 | Vartotojas pasirenka Account rankiniu būdu  | Vartotojas pasirenka iš sąrašo                                   | Leidžiama rinktis tik Account įrašus                  |_x000D_
_x000D_
Ši funkcija automatizuoja Account lauko užpildymą Convert to Case lange, dar prieš Case sukūrimą._x000D_
Sistema automatiškai ieško aktyvaus Account pagal el. laiško siuntėjo adresą ir užpildo lauką, jei randa vienintelį atitikmenį._x000D_
Tokiu būdu sumažinamas rankinis darbas, išvengiama neteisingų priskyrimų ir užtikrinamas tikslesnis Case susiejimas su atitinkamu klientu.</t>
        </is>
      </c>
      <c r="R2" t="inlineStr">
        <is>
          <t>2025-09-18</t>
        </is>
      </c>
      <c r="S2" t="inlineStr">
        <is>
          <t>2025-11-07</t>
        </is>
      </c>
      <c r="T2" t="n">
        <v>0</v>
      </c>
      <c r="U2" t="b">
        <v>0</v>
      </c>
      <c r="V2" t="n">
        <v>10</v>
      </c>
      <c r="W2" t="n">
        <v>10</v>
      </c>
      <c r="X2" t="n">
        <v>1.25</v>
      </c>
      <c r="Y2" t="n">
        <v>1.25</v>
      </c>
      <c r="Z2" t="inlineStr">
        <is>
          <t>[List]</t>
        </is>
      </c>
      <c r="AA2" t="inlineStr">
        <is>
          <t>2025-10-16T16:31:05Z</t>
        </is>
      </c>
    </row>
    <row r="3">
      <c r="A3" t="n">
        <v>99744</v>
      </c>
      <c r="B3" t="n">
        <v>512</v>
      </c>
      <c r="C3" t="inlineStr">
        <is>
          <t>LG-D365 CRM Project</t>
        </is>
      </c>
      <c r="D3" t="n">
        <v>2</v>
      </c>
      <c r="E3" t="inlineStr">
        <is>
          <t>Feature</t>
        </is>
      </c>
      <c r="F3" t="n">
        <v>1</v>
      </c>
      <c r="G3" t="inlineStr">
        <is>
          <t>New</t>
        </is>
      </c>
      <c r="H3" t="b">
        <v>0</v>
      </c>
      <c r="I3" t="n">
        <v>4</v>
      </c>
      <c r="J3" t="inlineStr">
        <is>
          <t>Normal</t>
        </is>
      </c>
      <c r="K3" t="n">
        <v>875</v>
      </c>
      <c r="L3" t="inlineStr">
        <is>
          <t>VilMat</t>
        </is>
      </c>
      <c r="M3" t="n">
        <v>821</v>
      </c>
      <c r="N3" t="inlineStr">
        <is>
          <t>GabKoj</t>
        </is>
      </c>
      <c r="O3" t="n">
        <v>96214</v>
      </c>
      <c r="P3" t="inlineStr">
        <is>
          <t>FR3-SPRINT_1-016 - Queue/Queue Items &gt; Convert To Case - Kontakto pagal klientą užpildymas ir pernešimas į sukuriamą užklausos įrašą</t>
        </is>
      </c>
      <c r="Q3" t="inlineStr">
        <is>
          <t>h1. Poreikis:_x000D_
_x000D_
Kovertuojant laišką į užklausą Papildomai užklausoje rankiniu būdu reikia įvesti klientą / kontaktą iš kurio gautas el. laiškas. _x000D_
Komentaras 1. čia turėta mintyje, kad kai klientas rašo laišką, pagal jo el. paštą automatiškai užklausoje įkristų, kaip Kontaktas ir nereikėtų rankiniu būdu suvedinėti. Pridėtas pav., kur nurodyta, kur turėtų atsirasti įrašas._x000D_
_x000D_
Tiekėjo siūlomas išpildymas:_x000D_
* Papildomas konvertavimo langas kontakto laukeliu._x000D_
* Laukelis automatiškai užpildomas jeigu laiško siuntėjas sistemoje yra sukurtas kaip 'kontaktas'._x000D_
* Atlikus konversiją užklausoje parinktasis kontaktas įdedamas į 'kontaktas' laukelį_x000D_
_x000D_
h1. Patvirtintas poreikis:_x000D_
_x000D_
Kontaktą fiksuotų tik konvertavimo metu, tolimesnių susirašinėjimų kontaktų nefiksuoti:_x000D_
Konvertuojant laišką sistema automatiškai parenka Klientą pagal domeną._x000D_
Iš Kliento esamo kontaktų sąrašo parenka konkretų kontaktą._x000D_
Jeigu suvesto kontakto nėra, palieka tuščią vietą._x000D_
Jeigu kontaktuose yra daugiau nei vienas kontaktas su tuo pačiu el. paštu, palieka tuščią vietą_x000D_
Jeigu Klientas parinktas rankiniu būdu, užėjus į kontakto lauką, paspaudus enter rodytų tos įmonės kontaktus._x000D_
_x000D_
h1. Atliekamos modifikacijos:_x000D_
_x000D_
*&lt;pre&gt;_x000D_
Modifikacijų sprendinio šaltinis: LTG_CRM - #96210 FR3-SPRINT1 System Customizations_x000D_
&lt;/pre&gt;*_x000D_
_x000D_
*Modifikacijų atlikimo vieta sistemoje:*_x000D_
* Emails_x000D_
* 'Convert To Case' funkcijos langas_x000D_
_x000D_
______x000D_
_x000D_
*Modifikacijos tęstinės - Antra dalis žemiau*_x000D_
*Pirma dalis: #99745*_x000D_
_x000D_
______x000D_
_x000D_
*Tikslas:*_x000D_
Užtikrinti, kad 'Convert to Case' lange automatiškai būtų užpildomas 'Contact' (Kontaktas) laukas tik tuo atveju, jei el. laiško siuntėjo adresas atitinka vieną iš kontakto įrašų, susietų su parinktu 'Account' (Klientu)._x000D_
Tikslas – užtikrinti, kad konvertuojant el. laišką į užklausą kontaktas būtų priskiriamas tik prie teisingo kliento ir išvengti neteisingų susiejimų._x000D_
_x000D_
*Bendroji logika:*_x000D_
* Funkcija vykdoma tik „Convert to Case“ lange, dar prieš 'Case' įrašo sukūrimą._x000D_
* Pirmiausia nustatomas ir užpildomas 'Account' (Klientas) pagal atskirą taisyklę (pirmoji funkcijos dalis)._x000D_
* Tik po to vykdoma 'Contact' (Kontaktas) parinkimo logika, susieta su tuo pačiu 'Account'._x000D_
* Kontaktas priskiriamas tik tuo atveju, jei jis priklauso jau nustatytam 'Account' ir sutampa jo el. pašto adresas su el. laiško „From“ laukelio adresu._x000D_
* Jei 'Account' laukas nebuvo automatiškai užpildytas, kontaktas nenustatomas ir neužpildomas, net jei sistemoje yra atitikmuo._x000D_
* 'Contact' lookup tipo lange rodomi tik tie kontaktai, kurie priklauso pasirinktai įmonei (Account)._x000D_
_x000D_
*Verslo taisyklės:*_x000D_
_x000D_
| # | Sąlyga                                                                       | Veiksmas                                                                                  | Rezultatas                                                  |_x000D_
| - | ---------------------------------------------------------------------------- | ----------------------------------------------------------------------------------------- | ----------------------------------------------------------- |_x000D_
| 1 | Account automatiškai nustatytas pagal el. paštą                       | Ieškoti kontakto, kuris priklauso šiam Account ir turi tą patį el. paštą kaip laiško From | Jei randamas, Contact užpildomas automatiškai               |_x000D_
| 2 | Nerandamas kontaktas tarp to Account kontaktų                                | Nepildyti Contact lauko                                                                   | Kontaktas lieka tuščias                                     |_x000D_
| 3 | Daugiau nei vienas kontaktas su tuo pačiu el. paštu tarp to Account kontaktų | Nepildyti Contact lauko                                                                   | Paliekamas tuščias                                          |_x000D_
| 4 | Account laukas konvertavimo lange **tuščias**                                | Nevykdyti kontakto paieškos                                                               | Contact laukas nebus automatiškai užpildytas                |_x000D_
| 5 | Rankiniu būdu parinktas Account konvertavimo lange                           | Filtruoti Contact lookup sąrašą pagal pasirinktą Account                                  | Rodyti tik susietus su tuo Account kontaktus                |_x000D_
| 6 | Vartotojas rankiniu būdu pasirenka kitą kontaktą                             | Leisti pasirinkti tik iš susietų su tuo Account kontaktų                                  | Užtikrintas duomenų vientisumas                             |_x000D_
| 7 | Paspaudus „OK“ (Convert to Case)                                             | Į Case perkelti pasirinktus Account ir Contact įrašus                                     | `customerid` ir `primarycontactid` užpildomi sukurtame Case |_x000D_
_x000D_
*(DEV)Techninė logika:*_x000D_
* Sukuriamas naujas/panaudojamas esamas laukas 'Contact'(LT: Kontaktas) ir pridedamas į 'Convert To Case' langą._x000D_
* (DEV) JavaScript skriptas pridedamas prie 'Convert to Case' dialogo formos._x000D_
* Vykdymo eiga:_x000D_
** Patikrinama, ar 'Account' laukas konvertavimo lange turi reikšmę._x000D_
*** Jei tuščias, skriptas neatlieka kontakto paieškos._x000D_
** Jei 'Account' nustatytas:_x000D_
*** Nuskaitomas Email.From lauko adresas._x000D_
*** Užklausa į Contact modulį su filtrais:_x000D_
**** ParentCustomerId = Pasirinktas Account_x000D_
**** EmailAddress1 = Email.From_x000D_
*** Jei randamas 1 rezultatas → užpildomas Contact laukas._x000D_
*** Jei rezultatų nėra arba daugiau nei vienas → Contact laukas lieka tuščias._x000D_
** Kontaktų lookup lauke nustatomas custom filter:_x000D_
*** ParentCustomerId = Pasirinktas Account._x000D_
*** Filtras atsinaujina pasikeitus Account laukui._x000D_
** Po „OK“ paspaudimo:_x000D_
*** Į sukurtą Case įrašomi primarycontactid = pasirinktas kontaktas ir customerid = pasirinktas Account._x000D_
_x000D_
*Testavimo scenarijai:*_x000D_
_x000D_
| # | Testavimo scenarijus                                                               | Reikšmė/Sąlyga                                                                   | Numatytas rezultatas                                             |_x000D_
| - | --------------------------------------------------------------------------- | ----------------------------------------------------------------------------------- | ----------------------------------------------------------- |_x000D_
| 1 | Account automatiškai nustatytas, randamas vienas kontaktas su tuo el. paštu | Email.From = [john@company.com](mailto:john@company.com), Account = Company A       | Contact laukas automatiškai užpildytas                      |_x000D_
| 2 | Account nustatytas, bet kontaktas nerastas                                  | Email.From = [unknown@company.com](mailto:unknown@company.com), Account = Company A | Contact laukas tuščias                                      |_x000D_
| 3 | Account nustatytas, randami keli kontaktai su tuo pačiu el. paštu           | Email.From = [shared@company.com](mailto:shared@company.com), Account = Company A   | Contact laukas tuščias                                      |_x000D_
| 4 | Account laukas tuščias konvertavimo lange                                   | Email.From = [user@company.com](mailto:user@company.com), Account = null            | Contact paieška neatliekama                                 |_x000D_
| 5 | Rankiniu būdu pasirinktas Account, atidarytas Contact lookup                | Account = Company B, paspaustas Enter Contact lauke                                 | Rodo tik Company B kontaktus                                |_x000D_
| 6 | Patvirtinamas konvertavimas (Confirm)                                            | Account ir Contact nustatyti                                                        | Sukurtame Case užpildyti `customerid` ir `primarycontactid` |_x000D_
_x000D_
*Priklausomybės:*_x000D_
* Pirmoji funkcijos dalis – automatinis Account nustatymas pagal el. laiško siuntėjo domeną._x000D_
* (DEV) JavaScript skriptas Convert to Case formoje._x000D_
* Contact ir Account sąryšis per lauką ParentCustomerId._x000D_
* Custom lookup filtro logika (addCustomFilter) Contact laukui._x000D_
_x000D_
*Neįtraukta sprendimo apimtyje(Out of Scope):*_x000D_
* Kontaktų automatinis kūrimas ar atnaujinimas._x000D_
* El. pašto domeno logikos keitimas Account parinkimui._x000D_
* Tolimesnių el. laiškų (po pirmos konversijos) kontaktų analizė ar fiksavimas.</t>
        </is>
      </c>
      <c r="R3" t="inlineStr">
        <is>
          <t>2025-09-18</t>
        </is>
      </c>
      <c r="S3" t="inlineStr">
        <is>
          <t>2025-11-07</t>
        </is>
      </c>
      <c r="T3" t="n">
        <v>0</v>
      </c>
      <c r="U3" t="b">
        <v>0</v>
      </c>
      <c r="V3" t="n">
        <v>15</v>
      </c>
      <c r="W3" t="n">
        <v>15</v>
      </c>
      <c r="X3" t="n">
        <v>2.75</v>
      </c>
      <c r="Y3" t="n">
        <v>2.75</v>
      </c>
      <c r="Z3" t="inlineStr">
        <is>
          <t>[List]</t>
        </is>
      </c>
      <c r="AA3" t="inlineStr">
        <is>
          <t>2025-10-16T16:27:36Z</t>
        </is>
      </c>
    </row>
    <row r="4">
      <c r="A4" t="n">
        <v>99743</v>
      </c>
      <c r="B4" t="n">
        <v>512</v>
      </c>
      <c r="C4" t="inlineStr">
        <is>
          <t>LG-D365 CRM Project</t>
        </is>
      </c>
      <c r="D4" t="n">
        <v>2</v>
      </c>
      <c r="E4" t="inlineStr">
        <is>
          <t>Feature</t>
        </is>
      </c>
      <c r="F4" t="n">
        <v>1</v>
      </c>
      <c r="G4" t="inlineStr">
        <is>
          <t>New</t>
        </is>
      </c>
      <c r="H4" t="b">
        <v>0</v>
      </c>
      <c r="I4" t="n">
        <v>4</v>
      </c>
      <c r="J4" t="inlineStr">
        <is>
          <t>Normal</t>
        </is>
      </c>
      <c r="K4" t="n">
        <v>875</v>
      </c>
      <c r="L4" t="inlineStr">
        <is>
          <t>VilMat</t>
        </is>
      </c>
      <c r="M4" t="n">
        <v>821</v>
      </c>
      <c r="N4" t="inlineStr">
        <is>
          <t>GabKoj</t>
        </is>
      </c>
      <c r="O4" t="n">
        <v>96214</v>
      </c>
      <c r="P4" t="inlineStr">
        <is>
          <t>FR3-SPRINT_1-015 - Queue/Queue Items &gt; Naujo modulio fiksuoti eilių konvertavimą kūrimas</t>
        </is>
      </c>
      <c r="Q4" t="inlineStr">
        <is>
          <t>h1. Poreikis:_x000D_
_x000D_
Kaip stebėti, kaip laiškai vaikšto per eiles pvz.: kai laiškas pvz atėjo į eilę bendri aptarnavimo klausimai, jie perkėlė į kitą eilę pvz krovinių gabenimas. Kaip pamatyti, kada ir kas perkėlė (įsitraukti į ataskaitas)_x000D_
Per kiek laiko laiškas virto užklausa/ galimybe_x000D_
Kai laiškas į užklausą konvertuojamas iš eilės į kurią atėjo._x000D_
Kai laiškas į užklausą konvertuojamas iš eilės į kurią buvo perkeltas._x000D_
_x000D_
h1. Patvirtintas poreikis:_x000D_
_x000D_
Klausimai: EM_x000D_
Fiksuoti: eilės įrašo sukūrimą, pasikeitimus, trynimą, konvertvimą į objetus. T.y. analogas retrospektyvai. Laikas, vartotojas, eilės. Kur matysis visa laiško kelionė. Kelionės laikas nuo laiško įkritimo į CRM (pirmą eilę) ir pavertimo į užklausą/galimybę turėtų tapti kintamuoju (KPI), kurį būtų galima prisidėti rodiniuose, ataskaitose._x000D_
Reikia detalesnio paaiškinimo, kaip būtų atvaizduojama, kaip galima matyti duomenis, ar visi vartotojai matys? _x000D_
Galimybė įsitraukti duomenis į PBI ataskaitą. (Per kliek laiko laiškas virto CRM objektu (kokiu), kas atliko veiksmus). _x000D_
Papildomai reikalingas dar vienas kintamasis (KPI) bendram kelionės laikui nuo laiško patekimo į CRM iki užklausos/galimybės uždarymo._x000D_
_x000D_
VM: istorinių veiksmų registre fiksuoti ne tik sąryšį su eilės įrašu, bet ir su pačiu el. laišku._x000D_
_x000D_
Nuspręsti kiek laiko saugom. Kai ištrinsim nesimatys PBI._x000D_
_x000D_
Fiksuoti: _x000D_
eilės įrašo sukūrimą,_x000D_
pasikeitimus, _x000D_
trynimą, _x000D_
konvertvimą į objetus._x000D_
_x000D_
Laikas, _x000D_
vartotojas, _x000D_
eilės. _x000D_
Kelionės laikas nuo laiško įkritimo į CRM (pirmą eilę) ir pavertimo į užklausą/galimybę turėtų tapti kintamuoju (KPI), kurį būtų galima prisidėti rodiniuose, ataskaitose._x000D_
Papildomai reikalingas dar vienas kintamasis (KPI) bendram kelionės laikui nuo laiško patekimo į CRM iki užklausos/galimybės uždarymo._x000D_
_x000D_
Siūlomas sprendimas:_x000D_
Galima fiksuoti 'Queue Item details' formoje._x000D_
Pasiekiama iš Queue&gt;pažymimas Queue Item&gt; per tris taškelius pasirenkamas 'Queue item details';_x000D_
Arba per 'Queue Items'&gt;'Queue Item Details';_x000D_
Queue Item Details forma -&gt; fiksuojami pernešimo į kitą eilę įrašai._x000D_
Būtų sukurtas atskiras modulis šiems duomenims fiksuoti. O 'Queue Item Details' formoje įdedama lentelė(sub-grid) kurioje matomi sukurti įrašai nuo įvykdyto perkėlimo._x000D_
Vertinimas: 6val._x000D_
_x000D_
Laiko fiksavimas nuo eilės įrašo patekimo į eilę iki jo konversijos į Galimybę/Užklausą. Užfiksuojamas laikas su kodo pagalba, kai tik įvyksta konversija._x000D_
Vertinimas: 5.5val._x000D_
_x000D_
Papildomai fiksuojamas laikas  nuo laiško patekimo į CRM iki susieto Case/Opportunity įrašo uždarymo._x000D_
Vertinimas: 2val._x000D_
_x000D_
GO-ERP komentaras (Versija 3)(redaguoti, kad perskaityti viską):_x000D_
Queue item details - Atsidarius formą būtų matoma papildoma sąrašo tipo lentelė, kurioje būtų galimybė, pagal įrašų kiekį, matyti, kiek kartų buvo keista el.laiško eilė. Atitinkamai kada ir kas ją keitė(perkėlė) - tai atskiri laukai kitame modulyje._x000D_
Atskiras modulis būtų traktuojamas kaip įrašų istorijos lentelė, kur kiekvienam iš eilės įrašų būtų sukuriamas atskiras įrašas nuo apibrėžto pakeitimo - perkėlimo į kitą eilę._x000D_
Atitinkamai, dėl įrašų kiekio apimties, tokiam moduliui, suderinus, būtų pritaikomas įrašų trynimas po 'x' laiko(tarsi senaties termino suėjimas), tam, kad sistema nebūtų apkrauta(vietos prasme) nebereikalingais įrašais._x000D_
_x000D_
Queue item details - Atsidarius formą būtų matomi papildomi datos ir laiko laukeliai bei išskaičiuotas laikas(sutartinai - sekundėmis, minutėmis ar valandomis). Kai tik laiškas patektų į eilę, kodo pagalba sistema automatiškai tam įrašui fiksuotų datos ir laiko faktą. Kai tik laiškui būtų įvykdytas 'konvertavimas' sistemos kodas taipogi užfiksuotų datos ir laiko faktą. Po šių dviejų laukų faktinių rodiklių užfiksavimo fone sistema išskaičiuotų praleistą laiką, kurį įdėtų į dedikuotą lauką skaitine reikšme._x000D_
Jeigu eilės įrašas(po konvertavimo) išlieka eilėje - duomenys fiksuojami tiesiogai eilės įraše, o vėliau nesunkiai išsitraukiami laukeliai analizei._x000D_
Jeigu eilės įrašas(po konvertavimo) dingsta iš eilės - duomenys gali būti kuriami ir fiksuojami atskirame, dedikuotame 'custom' modulyje', kurio faktiniai įrašai taipogi gali būti analizuojami ar paimami į PowerBI._x000D_
_x000D_
Kai kalbame apie atskirą modulį, tai visuomet turime galimybę apriboti per saugumo rolę, kuri vartotojų grupė gali matyti tą modulį arba netgi sukurti atskirą vartotojų saugumo rolę, kuri gali būti priskiriama tik 'x' asmenims._x000D_
Kai kalbame apie standartinio modulio viduje esančius laukelius, pasirinkimo galimybės yra dvejopos - a) formoje laukai neatvaizduojami ir tik apie tai žinantys asmenys gali juos prisidėti į rodinius bei patraukti į powerbi; b) formoje(kai tai leidžia MS apribojimai) laukeliams pritaikyti laukų saugumo parametrus, kurių pagrindu nepriskirtiems vartotojams rodo tik žvaigždutes '****', o priskirtiems realius, laukeliuose užfiksuotus, duomenis '2025-08-08 22:20'._x000D_
_x000D_
_x000D_
h1. Atliekamos modifikacijos:_x000D_
_x000D_
*&lt;pre&gt;_x000D_
Modifikacijų sprendinio šaltinis: LTG_CRM - #96210 FR3-SPRINT1 System Customizations_x000D_
&lt;/pre&gt;*_x000D_
_x000D_
*Tikslas:*_x000D_
Sukurti centralizuotą eilės įrašų retrospektyvos (Queue Item Details) sprendimą, kuris automatiškai fiksuoja visus laiško perėjimus tarp eilių, vartotojų veiksmus (sukūrimą, perkėlimą, konvertavimą, ištrynimą) ir skaičiuoja du KPI rodiklius:_x000D_
# Laiką nuo laiško patekimo į CRM eilę iki jo konvertavimo į „Case“ ar „Opportunity“._x000D_
# Bendrą kelionės laiką nuo laiško patekimo į CRM iki uždaryto „Case“ ar „Opportunity“._x000D_
_x000D_
Sprendimas užtikrina pilną laiško „kelionės“ istoriją bei suteikia galimybę Power BI ataskaitoms analizuoti proceso efektyvumą._x000D_
_x000D_
*1. Moduliai ir duomenų struktūra*_x000D_
* Sukuriamas naujas custom modulis „Queue Item History“ ,kaip nepriklausoma esybė._x000D_
* Kiekvienas eilės įrašo perkėlimas, konvertavimas ar ištrynimas fiksuojamas naujai sukurtame įraše šiame modulyje._x000D_
* Modulis saugo šiuos atributus: laikas, vartotojas, veiksmo tipas, pradinė ir nauja eilė, susietas laiškas, susietas „Case/Opportunity“._x000D_
* „Queue Item Details“ formoje įdedamas sub-grid rodantis susijusius istorinius įrašus iš „Queue Item History“._x000D_
_x000D_
*2. Veiksmų fiksavimas*_x000D_
_x000D_
| Įvykis                           | Fiksuojamas veiksmas | Sukuriamas įrašas modulyje | Papildoma logika                                              |_x000D_
| -------------------------------- | -------------------- | -------------------------- | ------------------------------------------------------------- |_x000D_
| Eilės įrašo sukūrimas            | New Queue Item       | ✔️                         | Užfiksuojamas įkėlimo laikas ir pradinė eilė                  |_x000D_
| Perkėlimas į kitą eilę           | Queue Reassigned     | ✔️                         | Fiksuojamas senos ir naujos eilės ID, vartotojas, data/laikas |_x000D_
| Konvertavimas į Case/Opportunity | Converted            | ✔️                         | Užfiksuojamas konversijos laikas ir tikslinis objektas        |_x000D_
| Eilės įrašo ištrynimas           | Deleted              | ✔️                         | Fiksuojama paskutinė būsena, vartotojas, data/laikas          |_x000D_
_x000D_
*3. KPI logika (automatiniai skaičiavimai)*_x000D_
* *KPI_1 – Queue-to-Object Duration:*_x000D_
** Skaičiuojamas skirtumas tarp Queue Entry Time ir Converted to Object Time._x000D_
** Matavimo vienetas: minutės (konfigūruojama)._x000D_
** Vertė saugoma laukelyje QueueToConversionDuration._x000D_
* *KPI_2 – CRM-to-Closure Duration:*_x000D_
** Skaičiuojamas skirtumas tarp Email Received in CRM Time ir Linked Object Closed On._x000D_
** Skaičiuojamas tik jei objektas = Case arba Opportunity su statusu = Closed._x000D_
** Vertė saugoma laukelyje TotalJourneyDuration._x000D_
* *KPI rodikliai bus prieinami Dynamics rodiniuose, taip pat Power BI dataset'e per OData/Dataverse jungtį.*_x000D_
_x000D_
*4. Apsauga ir prieigos teisės*_x000D_
* „Queue Item History“ matomumas valdomas per security roles:_x000D_
** Sprendinio apimtyje netaikoma: Pasirinktinai - Tik vartotojai su "x" rolėmis mato visus įrašus arba visi vartotojai mato visus įrašus_x000D_
** Jeigu taikomos vartotojų rolės - Ne sistemos administratoriai ar aukščiausias teises turintys vartotojai gali matyti tik savo sukurtus ar su jais susijusius įrašus._x000D_
* Sprendinio apimtyje netaikoma: Alternatyviai, formos laukai gali būti apsaugoti per "Field Security Profile" – nerodyti faktinių datų neautorizuotiems vartotojams (rodyti „****“)._x000D_
_x000D_
*5. Įrašų gyvavimo ciklas*_x000D_
* Įrašai automatiškai trinami po nustatyto termino – pvz. po 12 mėn. nuo įrašo sukūrimo._x000D_
* Po trynimo įrašai nebebus prieinami Power BI ataskaitose._x000D_
* Terminas konfigūruojamas sistemos 'Bulk delete job' parametro pagrindu._x000D_
_x000D_
*6. Atvaizdavimas formose*_x000D_
* „Queue Item Details“ forma papildoma sub-grid lentele „Queue Item History (Related Records)“._x000D_
* Lentele rodoma:_x000D_
** Data / Laikas_x000D_
** Veiksmas (Created, Reassigned, Converted, Deleted)_x000D_
** Vartotojas_x000D_
** Nuo / Į eilę_x000D_
** Susietas objektas - Case_x000D_
** Susietas objektas - Opportunity_x000D_
** Trukmė (sekundės/minutės/valandos)_x000D_
_x000D_
*Modulis ir laukai:*_x000D_
_x000D_
| Entity             | Field                     | Description                                             |_x000D_
| ------------------ | ------------------------- | ------------------------------------------------------- |_x000D_
| Queue Item History | Name                      | Automatinis pavadinimas (QueueItem + timestamp)         |_x000D_
| Queue Item History | Action Type               | Veiksmo tipas (Created, Reassigned, Converted, Deleted) |_x000D_
| Queue Item History | Performed By              | Vartotojas, atlikęs veiksmą                             |_x000D_
| Queue Item History | Previously Performed      | Vartotojas, prieš tai atlikęs veiksmą                   |_x000D_
| Queue Item History | Source Queue              | Pradinė eilė                                            |_x000D_
| Queue Item History | Target Queue              | Nauja eilė                                              |_x000D_
| Queue Item History | Related Queue Item        | Susietas Eilės įrašas                                   |_x000D_
| Queue Item History | Related Email             | Susietas laiškas (Email entity)                         |_x000D_
| Queue Item History | Related Case              | Susietas Case                                           |_x000D_
| Queue Item History | Related Opportunity       | Susietas Opportunity                                    |_x000D_
| Queue Item History | Queue Entry Time          | Laiško patekimo į eilę laikas                           |_x000D_
| Queue Item History | Conversion Time           | Konvertavimo į objektą(Case/Opportunity) laikas         |_x000D_
| Queue Item History | Object Closed On          | Susieto objekto uždarymo data                           |_x000D_
| Queue Item History | QueueToConversionDuration | KPI_1 rezultatas                                        |_x000D_
| Queue Item History | TotalJourneyDuration      | KPI_2 rezultatas                                        |_x000D_
_x000D_
*Testavimo scenarijai:*_x000D_
_x000D_
| # | Test Scenario                    | Input / Condition                      | Expected Result                                                                                |_x000D_
| - | -------------------------------- | -------------------------------------- | ---------------------------------------------------------------------------------------------- |_x000D_
| 1 | Naujas laiškas įkrenta į eilę    | Sukuriamas naujas Queue Item           | Sukuriamas Queue Item History įrašas su veiksmo tipu "Created", fiksuojamas laikas            ir surišamas objektas su Queue Item įrašu |_x000D_
| 2 | Laiškas perkeliamas į kitą eilę  | Queue Item reassigned to another queue | Atnaujinamas Queue Item History įrašas, susietas su Queue Item įrašu, su nurodytu senos ir naujos eilės ID, vartotoju ir laiku      |_x000D_
| 3 | Queue Item konvertuojamas į Case | Queue Item -&gt; Case                     | Atnaujinamas Queue Item  History įrašas, susietas su Queue Item įrašu, į veiksmą  „Converted“, užfiksuojamas konversijos laikas, apskaičiuojamas KPI_1 |_x000D_
| 4 | Case uždaromas                   | Case status = Resolved/Cancelled       | Atnaujinamas atitinkamas History įrašas su uždarymo laiku, skaičiuojamas KPI_2                 |_x000D_
| 5 | Opportunity uždaromas            | Opportunnity status = Won/Lost         | Atnaujinamas atitinkamas History įrašas su uždarymo laiku, skaičiuojamas KPI_2                 |_x000D_
| 6 | Duomenų šalinimo logika          | Įrašas senesnis nei 6 mėn.             | Įrašas automatiškai pašalinamas pagal nustatytą senaties logiką 'Bulk delete operation' sisteminėje operacijoje                               |_x000D_
_x000D_
*Konfigūravimo rodikliai:*_x000D_
_x000D_
| Parametras                  | Aprašymas                                                            | Standartas |_x000D_
| --------------------------- | -------------------------------------------------------------------- | ---------- |_x000D_
| QueueHistoryRetentionMonths | Kiek mėnesių saugomi istorijos įrašai                                | 6          |_x000D_
| KPI_TimeUnit                | Laiko matavimo vienetas KPI skaičiavimui (Seconds / Minutes / Hours) | Minutės    |_x000D_
_x000D_
*Laukų vertimai(EN &gt; LT):*_x000D_
_x000D_
| Entity                     | Lauko Loginis Pavadinimas       | Pavadinimas (EN)             | Pavadinimas (LT)              | Aprašymas                                  |_x000D_
| ------------------------------- | ----------------------------- | ------------------------ | -------------------------- | ------------------------------------------------------- |_x000D_
| **Queue Item History (custom)** | new_name                      | Name                     | Pavadinimas                | Automatinis įrašo pavadinimas (Queue Item + timestamp)  |_x000D_
|                                 | new_actiontype                | Action Type              | Veiksmo tipas              | Veiksmo tipas (Created, Reassigned, Converted, Deleted) |_x000D_
|                                 | new_performedby               | Performed By             | Veiksmą atlikęs vartotojas | Asmuo, atlikęs veiksmą                                  |_x000D_
|                                 | new_sourcequeue               | Source Queue             | Pradinė eilė               | Eilė, iš kurios įrašas buvo perkeltas                   |_x000D_
|                                 | new_targetqueue               | Target Queue             | Nauja eilė                 | Eilė, į kurią įrašas buvo perkeltas                     |_x000D_
|                                 | new_relatedemail              | Related Email            | Susijęs el. laiškas        | El. laiškas, su kuriuo susietas įrašas                  |_x000D_
|                                 | new_relatedqueueitem          | Related Queue Item       | Susijęs eilės įrašas       | Nuoroda į susijusį Queue Item                           |_x000D_
|                                 | new_relatedcase               | Related Case             | Susijusi užklausa          | Nuoroda į susijusį Case įrašą                           |_x000D_
|                                 | new_relatedopportunity        | Related Opportunity      | Susijusi galimybė          | Nuoroda į susijusį Opportunity įrašą                    |_x000D_
|                                 | new_queueentrytime            | Queue Entry Time         | Įkėlimo į eilę laikas      | Kada įrašas pateko į eilę                               |_x000D_
|                                 | new_conversiontime            | Conversion Time          | Konvertavimo laikas        | Kada įrašas paverstas į objektą                         |_x000D_
|                                 | new_objectclosedon            | Object Closed On         | Objekto uždarymo data      | Kada susietas objektas buvo uždarytas                   |_x000D_
|                                 | new_queuetoconversionduration | Queue-to-Object Duration | Laikas iki konvertavimo    | Trukmė nuo eilės iki konvertavimo                       |_x000D_
|                                 | new_totaljourneyduration      | Total Journey Duration   | Bendras kelionės laikas    | Trukmė nuo laiško patekimo į CRM iki uždarymo           |_x000D_
|                                 | new_retentionexpirydate       | Retention Expiry Date    | Saugojimo termino pabaiga  | Kada įrašas bus automatiškai pašalintas                 |_x000D_
| Entity                     | Lauko Loginis Pavadinimas       | Pavadinimas (EN)             | Pavadinimas (LT)              | Aprašymas                                  |_x000D_
| ------------------------- | --------------------------- | ------------------------- | ------------------------------ | -------------------------------------------------------------- |_x000D_
| **Queue Item (standard)** | new_kpi_queueconversiontime | Queue Conversion Duration | Laikas eilėje iki konvertavimo | KPI_1 – skirtumas tarp įėjimo į eilę ir konvertavimo į objektą |_x000D_
|                           | new_kpi_totaljourneytime    | Total Journey Duration    | Bendras kelionės laikas        | KPI_2 – skirtumas nuo laiško patekimo iki uždarymo             |_x000D_
|                           | new_relatedqueueitem        | Related Queue Item        | Susijęs eilės įrašas           | Nuoroda į Queue Item History įrašą                             |_x000D_
| Entity                     | Lauko Loginis Pavadinimas       | Pavadinimas (EN)             | Pavadinimas (LT)              | Aprašymas                                  |_x000D_
| ------------------- | ------------------------ | ---------------------- | ----------------------- | -------------------------------------------- |_x000D_
| **Case (standard)** | new_relatedqueueitem     | Related Queue Item     | Susijęs eilės įrašas    | Nuoroda į Queue Item                         |_x000D_
|                     | new_relatedopportunity   | Related Opportunity    | Susijusi galimybė       | Nuoroda į susietą Opportunity (jei taikoma)  |_x000D_
|                     | new_kpi_totaljourneytime | Total Journey Duration | Bendras kelionės laikas | KPI nuo laiško gavimo iki užklausos uždarymo |_x000D_
| Entity                     | Lauko Loginis Pavadinimas       | Pavadinimas (EN)             | Pavadinimas (LT)              | Aprašymas                                  |_x000D_
| -------------------------- | ------------------------ | ---------------------- | ----------------------- | -------------------------------------------- |_x000D_
| **Opportunity (standard)** | new_relatedqueueitem     | Related Queue Item     | Susijęs eilės įrašas    | Nuoroda į Queue Item                         |_x000D_
|                            | new_relatedcase          | Related Case           | Susijusi užklausa       | Nuoroda į susietą Case                       |_x000D_
|                            | new_kpi_totaljourneytime | Total Journey Duration | Bendras kelionės laikas | KPI nuo laiško gavimo iki galimybės uždarymo |_x000D_
_x000D_
_x000D_
*Priklausomybės:*_x000D_
* Queue ir Queue Item standartiniai moduliai._x000D_
* Email, Case, Opportunity – sistemos moduliai, naudojami sąryšiui._x000D_
* Power BI dataset integracija per Dataverse jungtį._x000D_
* Plugin arba Power Automate flow veiksmai įrašų fiksavimui._x000D_
_x000D_
*Prielaidos:*_x000D_
* Laiškai visada paverčiami į Case arba Opportunity įrašą._x000D_
* Konversijos įvykis vyksta per Dynamics 365 UI ar automatinį procesą._x000D_
* Sistemoje įdiegtas server-side synchronization, užtikrinantis laiškų patekimo datų fiksavimą._x000D_
_x000D_
*Neįtraukiama(Out of Scope):*_x000D_
* Laiškų turinio fiksavimas ar atvaizdavimas._x000D_
* Automatinis KPI vizualizavimas (atliekama Power BI pusėje)._x000D_
* Istorinės (iki diegimo) eilės veiklos rekonstrukcija.</t>
        </is>
      </c>
      <c r="R4" t="inlineStr">
        <is>
          <t>2025-09-18</t>
        </is>
      </c>
      <c r="S4" t="inlineStr">
        <is>
          <t>2025-11-07</t>
        </is>
      </c>
      <c r="T4" t="n">
        <v>30</v>
      </c>
      <c r="U4" t="b">
        <v>0</v>
      </c>
      <c r="V4" t="n">
        <v>13.5</v>
      </c>
      <c r="W4" t="n">
        <v>13.5</v>
      </c>
      <c r="X4" t="n">
        <v>6.5</v>
      </c>
      <c r="Y4" t="n">
        <v>6.5</v>
      </c>
      <c r="Z4" t="inlineStr">
        <is>
          <t>[List]</t>
        </is>
      </c>
      <c r="AA4" t="inlineStr">
        <is>
          <t>2025-10-16T16:21:33Z</t>
        </is>
      </c>
    </row>
    <row r="5">
      <c r="A5" t="n">
        <v>99742</v>
      </c>
      <c r="B5" t="n">
        <v>512</v>
      </c>
      <c r="C5" t="inlineStr">
        <is>
          <t>LG-D365 CRM Project</t>
        </is>
      </c>
      <c r="D5" t="n">
        <v>2</v>
      </c>
      <c r="E5" t="inlineStr">
        <is>
          <t>Feature</t>
        </is>
      </c>
      <c r="F5" t="n">
        <v>18</v>
      </c>
      <c r="G5" t="inlineStr">
        <is>
          <t>Release</t>
        </is>
      </c>
      <c r="H5" t="b">
        <v>0</v>
      </c>
      <c r="I5" t="n">
        <v>4</v>
      </c>
      <c r="J5" t="inlineStr">
        <is>
          <t>Normal</t>
        </is>
      </c>
      <c r="K5" t="n">
        <v>875</v>
      </c>
      <c r="L5" t="inlineStr">
        <is>
          <t>VilMat</t>
        </is>
      </c>
      <c r="M5" t="n">
        <v>875</v>
      </c>
      <c r="N5" t="inlineStr">
        <is>
          <t>VilMat</t>
        </is>
      </c>
      <c r="O5" t="n">
        <v>96214</v>
      </c>
      <c r="P5" t="inlineStr">
        <is>
          <t>FR3-SPRINT_1-014 - Queue/Queue Items &gt; Convert To Case - Konvertavimo lango laukų atvaizdavimo ir eilių įrašų paleidimo iš eilės modifikacijos</t>
        </is>
      </c>
      <c r="Q5" t="inlineStr">
        <is>
          <t xml:space="preserve">h1. Poreikis:_x000D_
_x000D_
Eilės konvertavimo formoje atsirastų naujas pasirinkimas su numatytaja reikšme Taip, kuris laišką pasišalintų iš eilės. Dabar lieka ir reikia rankiniu būdu pašalinti._x000D_
_x000D_
Siūlomas dizainas:_x000D_
Automatizuotas sprendimas - Konversijos metu paleidžiama 'Remove' queue item funkcija, kurios pagalba eilės įrašas pašalinamas iš pastarosios eilės. Vartotojui nereikia žymėti jokių žymų, procesas vyksta numatyta tvarka be galimybės palikti įrašą eilėje._x000D_
Kodo panaudojimas._x000D_
Vertinimas: 4.5val._x000D_
_x000D_
Papildomai:_x000D_
Iš Convert to Case pop-up formos paslepiami/išimami laukeliai 'Create new Case' bei 'Change email to completed';_x000D_
Numatyta tvarka laukų vertės nustatomos į 'Yes';_x000D_
Vertinimas: 1val._x000D_
_x000D_
h1. Patvirtintas poreikis:_x000D_
_x000D_
Konvertavimo lange lieka šie laukai:_x000D_
Klientas_x000D_
Kontaktas_x000D_
Tema_x000D_
Potemė_x000D_
_x000D_
Sukurti naują užklausą: Taip/Ne VM: Paslėpti laukus iš convert to case lango_x000D_
Pakeiskite el.pašto būseną į Baigta ir uždarykite formą  VM: Paslėpti laukus iš convert to case lango_x000D_
_x000D_
h1. Atliekamos modifikacijos:_x000D_
_x000D_
*&lt;pre&gt;_x000D_
Modifikacijų sprendinio šaltinis: LTG_CRM - #96210 FR3-SPRINT1 System Customizations_x000D_
&lt;/pre&gt;*_x000D_
_x000D_
*Modifikacijų atlikimo vieta sistemoje:*_x000D_
* Queue Items_x000D_
* Email Messages _x000D_
* Convert To Case pop-up_x000D_
_x000D_
*El.laiškai (Email Messages):*_x000D_
* 'Convert To Case' langas po mygtuko paspaudimo:_x000D_
** Išimamas/paslepiamas laukas 'Open the new case'_x000D_
*** Lauko standartinė reikšmė nustatoma į 'Yes'_x000D_
** Išimamas/paslepiamas laukas 'Change the Email status to Completed and close the form'_x000D_
*** Lauko standartinė reikšmė nustatoma į 'Yes'_x000D_
* Paspaudus mygtuką 'Confirm' sistema kreipiasi į 'Queue Items' modulį ir ten susietam 'Queue Item' įrašui atlieka 'Remove' funkciją_x000D_
** Modifikacijos rezultatas: 'Convert to case' lange paspaudus 'Confirm' sistema pašalina susietą 'Queue Item' iš 'Queue', sukuria naują 'Case' įrašą, o laiškas padaromas/išlaikomas kaip 'Completed'_x000D_
_x000D_
*Išimtys:*_x000D_
* Jeigu 'Convert To case' lange paspaudus mygtuką 'Confirm' gaunama sisteminė klaida - nepašalinti 'Queue Item' iš 'Queue'_x000D_
* Jeigu po 'Confirm' mygtuko paspaudimo 'Convert To Case' lange nesukuriamas 'Case' įrašas - nepašalinti 'Queue Item' iš 'Queue' </t>
        </is>
      </c>
      <c r="R5" t="inlineStr">
        <is>
          <t>2025-09-18</t>
        </is>
      </c>
      <c r="S5" t="inlineStr">
        <is>
          <t>2025-11-07</t>
        </is>
      </c>
      <c r="T5" t="n">
        <v>40</v>
      </c>
      <c r="U5" t="b">
        <v>0</v>
      </c>
      <c r="V5" t="n">
        <v>5.5</v>
      </c>
      <c r="W5" t="n">
        <v>5.5</v>
      </c>
      <c r="X5" t="n">
        <v>7</v>
      </c>
      <c r="Y5" t="n">
        <v>7</v>
      </c>
      <c r="Z5" t="inlineStr">
        <is>
          <t>[List]</t>
        </is>
      </c>
      <c r="AA5" t="inlineStr">
        <is>
          <t>2025-10-16T16:19:00Z</t>
        </is>
      </c>
    </row>
    <row r="6">
      <c r="A6" t="n">
        <v>99741</v>
      </c>
      <c r="B6" t="n">
        <v>512</v>
      </c>
      <c r="C6" t="inlineStr">
        <is>
          <t>LG-D365 CRM Project</t>
        </is>
      </c>
      <c r="D6" t="n">
        <v>2</v>
      </c>
      <c r="E6" t="inlineStr">
        <is>
          <t>Feature</t>
        </is>
      </c>
      <c r="F6" t="n">
        <v>9</v>
      </c>
      <c r="G6" t="inlineStr">
        <is>
          <t>Ready for testing</t>
        </is>
      </c>
      <c r="H6" t="b">
        <v>0</v>
      </c>
      <c r="I6" t="n">
        <v>4</v>
      </c>
      <c r="J6" t="inlineStr">
        <is>
          <t>Normal</t>
        </is>
      </c>
      <c r="K6" t="n">
        <v>875</v>
      </c>
      <c r="L6" t="inlineStr">
        <is>
          <t>VilMat</t>
        </is>
      </c>
      <c r="M6" t="n">
        <v>875</v>
      </c>
      <c r="N6" t="inlineStr">
        <is>
          <t>VilMat</t>
        </is>
      </c>
      <c r="O6" t="n">
        <v>96215</v>
      </c>
      <c r="P6" t="inlineStr">
        <is>
          <t>FR3-SPRINT_1-013 - Email Messages &gt; Laiško peržiūros statuso laukelio kūrimas, Flow kūrimas, Timeline Email card modifikavimas,  Pranešimų siuntimas eilėje nurodytai komandai.</t>
        </is>
      </c>
      <c r="Q6" t="inlineStr">
        <is>
          <t>h1. Poreikis:_x000D_
_x000D_
Kai įkrenta naujas laiškas į eilę:_x000D_
* Turi būti požymis, kad naujas laiškas (pasikeitusi spalva, bold, statusas)_x000D_
* Atsirasti nortification, kad atėjo laiškas. _x000D_
* Koks požymis galėtų būti vartotojui, kad tai naujas/neskaitytas laiškas_x000D_
_x000D_
h1. Patvirtintas poreikis:_x000D_
_x000D_
* Kai eilėje atsiranda naujas laiškas, statusas rodinio eilutėje pasidaro "Naujas". Uždedama foninė spalva 'Mėlyna'._x000D_
* Atsidarius laišką statusas rodinyje pasikeičia į 'Perskaitytas'. Foninė spalva pakeičiama į 'Žalia'._x000D_
* Pačiame laiške užkeisti "Terminą" su "Statusu"(naujas laukas)(Svarbiausios informacijos sektorius)._x000D_
* Pačiame laiške paslėpti lauką 'Savininkas'._x000D_
_x000D_
*Pranešimų siuntimo eilėje priskirtos komandos nariams sprendimas:*_x000D_
*Laiškų pranešimai pateikiami CRM - Sisteminio pranešimo pagrindu*_x000D_
* Eilės įraše sukuriamas naujas laukas skirtas nurodyti pranešimų gavimo komandą._x000D_
* Komandos priskiriamos eilėms._x000D_
* Sukuriamas foninis flow procesas, kuris pasileidžia, kai prie eilės priskiriamas naujas eilės įrašas(el.laiškas)._x000D_
* Flow procesas sugeneruoja pranešimą komandos nariams į sistemos pranešimų panelę. MS Teams nereikia siųsti pranešimų._x000D_
*Apie pranešimų tekstų atvaizduojamą informaciją informuoti užsakovą priėjus prie užduoties vykdymo.*_x000D_
_x000D_
* Jeigu įmanoma padaryti naują laiško įrašo būklės laukelį matomą Timeline kortelėje (Timeline kortelės korekcijos)_x000D_
_x000D_
h1. Atliekamos modifikacijos:_x000D_
_x000D_
*&lt;pre&gt;_x000D_
Modifikacijų sprendinio šaltinis: LTG_CRM - #96210 FR3-SPRINT1 System Customizations_x000D_
&lt;/pre&gt;*_x000D_
_x000D_
*Modifikacijų atlikimo vieta sistemoje:*_x000D_
* Queue Items_x000D_
* Queues_x000D_
* Email Messages_x000D_
* Case_x000D_
* Opportunity_x000D_
* Account_x000D_
* Contact_x000D_
_x000D_
*El.laiškai (Email Messages):*_x000D_
* Sukuriamas naujas choice tipo laukelis 'Email Read Status' ('Perskaitymo statusas')_x000D_
* Sukuriamas naujas globalusis pasirinkimų komponentas skirtas naudoti modulių įrašų kūrime._x000D_
** Komponento pasirinkimai:_x000D_
** Unread (LT: Neskaitytas) (Spalva: Mėlyna)_x000D_
** Read (LT: Perskaitytas) (Spalva: Žalia)_x000D_
* Standartinė laukelio reikšmė nustatoma į 'Unread'_x000D_
_x000D_
* El.laiškų pagrindinėje formoje (main form) įterpiamas 'Email Read Status' laukelis komponento 'OptionSet Wrapper' pagrindu (atvaizduoti pasirinkimą su spalvine gama)_x000D_
* El. laiškų pagrindinėje formoje (main form) paslepiamas laukas 'Owner'(LT: Sąvininkas)_x000D_
* Peržiūrimi atvaizduojami sisteminiai el.laiškų modulio rodiniai ('views') ir jeigu yra, iš jų pašalinamas stulpelis 'Owner'._x000D_
* Sukuriama nauja verslo taisyklė:_x000D_
** 'Email Read Status' laukelis atvaizduojamas tik tuo atveju, kai Email Message įrašo laukas 'Direction' lygus vertei 'Incoming'. Jeigu 'Outgoing' -&gt; Laukelis slepiamas._x000D_
** Jeigu 'Direction' lygu 'Incoming' &gt; Atvaizduoti lauką 'Email Read Status'_x000D_
** Kitu atveju &gt; Slėpti_x000D_
* Sukuriama nauja verslo taisyklė:_x000D_
** Jeigu 'Direction' lygu 'Outgoing' &gt; Nustatyti "Email Read Status' vertę į 'Read'_x000D_
** Kitu atveju &gt; nedaroma nieko_x000D_
_x000D_
* Sukuriama JS OnLoad funkcija:_x000D_
** Funkcija veikia kai vartotojas atidaro el.laiškų modulio įrašą_x000D_
** Funkcija veikia tik su tais 'Email message' įrašais, kurių 'Direction' lygus 'Incoming'_x000D_
** Atvėrus 'email message' įrašą sistema patikrina ar 'Direction' lygu 'Incoming' ir jeigu taip, pakeičia laukelio 'Email Read Status' vertę iš 'Unread' į 'Read'_x000D_
** Rezultatas: Atidarius email įrašą laukelio 'Email Read Status' vertė lygi 'Read'_x000D_
_x000D_
* Sukuriamas naujas mygtukas 'Change to Unread'(LT: 'Padaryti neperskaitytu')_x000D_
** Mygtukas patalpinamas tarp 'Forward' ir 'Save' mygtukų_x000D_
** Mygtuko funkcionalumas veikia kodo pagrindu:_x000D_
*** Paspaudus mygtuką pirmiausia iškviečiamas naujas pop-up langas su užrašu "Are you sure?"(LT: Esate įsitikinę savo veiksmu?) ir apačioje esančiais dviem mygtukais "Confirm/Cancel"(LT: Patvirtinti/Atšaukti)_x000D_
*** Paspaudus mygtuką "Cancel" atšaukiamas pop-up langas ir nieko nedaroma_x000D_
*** Paspaudus mygtuką "Confirm" inicijuojamas JS kodas, kuris el.laiško laukeliui 'Email Read Status' pakeičia vertę iš Read (LT: Perskaitytas) į Unread (LT: Neskaitytas) (Spalva: Mėlyna)_x000D_
*** Teigiamas rezultatas: El.laiškų modulio įrašo lauko 'Email Read Status' tampa 'Unread'_x000D_
_x000D_
*Eilės (Queues):*_x000D_
* Sukuriamas naujas lookup tipo laukelis "Notfications Team" (LT: Pranešimų komanda) žvelgiantis į 'Komandų(Teams)' modulį._x000D_
* Laukelis pridedamas į 'Queue' modulio pagrindinę formą (Main form)_x000D_
_x000D_
*Eilių įrašai (Queue Items):*_x000D_
* Queue Items moduliui suaktyvinamas ir sukonfigūruojamas 'Power Apps grid control' funkcionalumas_x000D_
* Rodiniai -&gt; Rodinys "All Items" -&gt; Pridedamas papildomas stulpelis 'Email Read Status' ('Perskaitymo statusas') iš 'Email messages' modulio_x000D_
_x000D_
* Sukuriamas naujas flow procesas 'Queue Items - System Notification to Team about incoming email message'_x000D_
* Flow veikimo pagrindas:_x000D_
** Į CRM sistemą sinchronizuojamas naujas el.laiškas ir priskiriamas vienai iš egzistuojančių public 'Queue'_x000D_
*** Ar 'Queue' yra 'public' nustatoma pagal lauką 'Type', kurio reikšmės lygios 'Public'/'Private'_x000D_
** Pasileidžia flow procesas ir tikrina ar laiško 'Queue' yra 'Public' pagal 'Type' lauką_x000D_
** Jeigu 'Queue' modulio lauko 'Type' reikšmė lygi 'Private' &gt; nedaro nieko ir užbaigia procesą su rezultatu 'Queue is private'._x000D_
** Jeigu 'Queue' modulio lauko 'Type' reikšmė lygi 'Public':_x000D_
*** Tikrina priskirtoje 'Queue', kokia nurodyta komanda laukelyje "Notfications Team"_x000D_
*** Jeigu lauke nenurodyta komanda &gt; Nedaro nieko ir užbaigia flow procesą su rezultatu 'No Team specified'_x000D_
*** Jeigu lauke nurodyta komanda &gt; Paima toje komandoje nurodytus komandos narius ir jiems išsiunčia 'System Notification' pranešimą_x000D_
* *System Notification pranešimo turinys:*_x000D_
** Pranešimo tema: 'Eilėje gautas naujas laiškas'_x000D_
** Pranešimo papildomi komentarai: _x000D_
*** Gautas: XXX (nurodoma 'Created On' data iš el.laiško įrašo)_x000D_
*** Siuntėjas: XXX (nurodomas 'From' iš el.laiško įrašo)_x000D_
** Aktyvus mygtukas nukreipia į priskirtą 'Email' įrašą_x000D_
_x000D_
*Užklausos (Cases):*_x000D_
* Pamodifikuojama 'Email message' kortelė atvaizduojama Timeline kanale:_x000D_
** Iš kortelės išimamas 'Status' laukelis_x000D_
** Į kortelę pridedamas 'Email Read Status' laukelis_x000D_
_x000D_
*Galimybės (Opportunties):*_x000D_
* Pamodifikuojama 'Email message' kortelė atvaizduojama Timeline kanale:_x000D_
** Iš kortelės išimamas 'Status' laukelis_x000D_
** Į kortelę pridedamas 'Email Read Status' laukelis_x000D_
_x000D_
*Klientai (Account):*_x000D_
* Pamodifikuojama 'Email message' kortelė atvaizduojama Timeline kanale:_x000D_
** Iš kortelės išimamas 'Status' laukelis_x000D_
** Į kortelę pridedamas 'Email Read Status' laukelis_x000D_
_x000D_
*Kontaktai (Contacts):*_x000D_
* Pamodifikuojama 'Email message' kortelė atvaizduojama Timeline kanale:_x000D_
** Iš kortelės išimamas 'Status' laukelis_x000D_
** Į kortelę pridedamas 'Email Read Status' laukelis_x000D_
_x000D_
*Vertimai:*_x000D_
* 'Email Read Status' &gt; 'Perskaitymo statusas'_x000D_
** 'Unread' &gt; 'Neskaitytas' (Spalva: Mėlyna)_x000D_
** 'Read' &gt; 'Perskaitytas' (Spalva: Žalia)_x000D_
* 'Notfications Team' &gt; 'Pranešimų komanda'_x000D_
* Mygtukas 'Change to Unread' &gt; 'Padaryti neperskaitytu'_x000D_
* Pop-up langas su užrašu "Are you sure?" &gt; 'Esate įsitikinę savo veiksmu?'_x000D_
** Pop-up lango pasirinkimai 'Confirm/Cancel' &gt; 'Patvirtinti/Atšaukti'</t>
        </is>
      </c>
      <c r="R6" t="inlineStr">
        <is>
          <t>2025-09-18</t>
        </is>
      </c>
      <c r="S6" t="inlineStr">
        <is>
          <t>2025-11-07</t>
        </is>
      </c>
      <c r="T6" t="n">
        <v>50</v>
      </c>
      <c r="U6" t="b">
        <v>0</v>
      </c>
      <c r="V6" t="n">
        <v>13</v>
      </c>
      <c r="W6" t="n">
        <v>13</v>
      </c>
      <c r="X6" t="n">
        <v>13.5</v>
      </c>
      <c r="Y6" t="n">
        <v>13.5</v>
      </c>
      <c r="Z6" t="inlineStr">
        <is>
          <t>[List]</t>
        </is>
      </c>
      <c r="AA6" t="inlineStr">
        <is>
          <t>2025-10-16T16:13:01Z</t>
        </is>
      </c>
    </row>
    <row r="7">
      <c r="A7" t="n">
        <v>99740</v>
      </c>
      <c r="B7" t="n">
        <v>512</v>
      </c>
      <c r="C7" t="inlineStr">
        <is>
          <t>LG-D365 CRM Project</t>
        </is>
      </c>
      <c r="D7" t="n">
        <v>2</v>
      </c>
      <c r="E7" t="inlineStr">
        <is>
          <t>Feature</t>
        </is>
      </c>
      <c r="F7" t="n">
        <v>2</v>
      </c>
      <c r="G7" t="inlineStr">
        <is>
          <t>In Progress</t>
        </is>
      </c>
      <c r="H7" t="b">
        <v>0</v>
      </c>
      <c r="I7" t="n">
        <v>4</v>
      </c>
      <c r="J7" t="inlineStr">
        <is>
          <t>Normal</t>
        </is>
      </c>
      <c r="K7" t="n">
        <v>875</v>
      </c>
      <c r="L7" t="inlineStr">
        <is>
          <t>VilMat</t>
        </is>
      </c>
      <c r="M7" t="n">
        <v>875</v>
      </c>
      <c r="N7" t="inlineStr">
        <is>
          <t>VilMat</t>
        </is>
      </c>
      <c r="O7" t="n">
        <v>96214</v>
      </c>
      <c r="P7" t="inlineStr">
        <is>
          <t>FR3-SPRINT_1-012 - Queue/Queue Items &gt; Eilių rodinių modifikacijos, laukų vertimai</t>
        </is>
      </c>
      <c r="Q7" t="inlineStr">
        <is>
          <t xml:space="preserve">h1. Poreikis:_x000D_
_x000D_
Padaryti eilės sisteminį rodinį toks kaip dabar yra sukurtas rankiniu būdu ant dabartinio Visi Elementai._x000D_
Įvesta eilė (Laiško įkritimo laikas) - čia turi fiksuotis, kada įkrito laiškas, nesvarbu ar buvo perkeltas iš kitos eilės._x000D_
Pavadinimas (Laiško subjectas)_x000D_
Apie (Objektas) - ar galima pervadinti, kad aiškiau suprasti, kad jau yra susietas su CRM objektu?_x000D_
Kas dirbo (kas prisiskyrė laišką)_x000D_
Kas pateikė (siuntėjas)_x000D_
Siuntėjo klientas (Klientas, jeigu kontaktas yra priskirtas prie kliento)_x000D_
Komentarai (Objektas) - Matosi laiško turinys_x000D_
Kam (Objektas) - matosi, kam buvo adresuotas laiškas (Tik įtraukti TO eilutėje)_x000D_
Eilė - Eilė, kurioje yra laiškas_x000D_
_x000D_
Pridėti stulpelį segmentas_x000D_
_x000D_
Ar galima keisti stulpelių pavadinimus?_x000D_
Ką galima padaryti, kad patogiau matytųsi komentaro stulpelis t.y. aiškiau skaitytųsi laiško turinys neužėjus į vidų? - pertikrinti_x000D_
Kaip padaryti, kad jeigu laiškas perkeltas iš kitos eilės, matytųsi kas ir kada perkėlė. _x000D_
Ar įmanoma Žymėti laiškus rankiniu būdu (keičiant spalvą, uždedant šauktuką ar pan.)_x000D_
Žymėti/ išskirti laiškus automatiškai pagal tam tikrą požymį, kaip pvz. TOP segmentų klientų laiškai būtų žymimi raudona spalva ar atsirastų šauktumas ar pan._x000D_
_x000D_
h1. Patvirtintas poreikis:_x000D_
_x000D_
*Objektas:  Eilės*_x000D_
* Sutvarkyti rodinius (kaip veikia pateikti rodiniai, jeigu neaktualu, juos panaikinti)_x000D_
* Sisteminio rodinio sukūrimas (Pagal dabar Eglės M. sukurtą Visi elementai/Pilnas sąrašas). Reikalinga pervadint nurodytų laukelių vertimus į LT kalbą)._x000D_
** Statusas (*Pritraukti naują lauką*) - Naujas/ perskaitytas._x000D_
** Gauta (dabar Įvesta eilė (Entered Queue) - turi rodyti laiką, kada atsirado eilėje)_x000D_
** Tema (Pavadinimas (Title) - turi rodyti laiško temą (subject'ą)_x000D_
** Susiję (dabar Apie Objektas (Regarding (Object) - turi rodyti su kokiu objektu susijęs laiškas)_x000D_
** Užklausos savininkas (*Pritraukti naują lauką* - rodyti užklausos savininką)_x000D_
** Kas dirba (dabar Kas dirbo (Worked By) - turi rodyti, jeigu prisiskiria sau laišką)_x000D_
** Nuo (dabar Kas pateikė (Objektas) (Submitted By (Object) - rodyti kas atsiuntė laišką el.paštas)_x000D_
** Siuntėjo Klientas (dabar Siuntėjo Klientas (Objektas) Senders Account (Object) - rodyti Klientą pagal siuntėją)_x000D_
** Segmentas (*Pritraukti naują lauką*) - rodyti kliento segmentą, *naujas laukas*._x000D_
** Laiško turinys (dabar Komentarai (Objektas) (Description (Object)- užėjus ant įrašo rodo laiško turinį)_x000D_
** Kam (dabar Kam (Objektas) (To (Object) - užėjus ant įrašo rodo 'TO' eilutės adresatus)_x000D_
** Pirminė Eilė (*Pritraukti naują lauką* - rodytų eilę/eiles į kurią eilę atėjo laiškas)_x000D_
_x000D_
* Papildomi stulpeliai, kurie atsiras, dėl laiškų judėjimo stebėjimo (Nauji eilių įrašų detalių laukeliai VILINTAS) -&gt; *Pridedami į rodinio pabaigą*_x000D_
_x000D_
* *Eilių įrašų žymėjimas ikonėlėmis - Nedaromas.*_x000D_
_x000D_
h1. Atliekamos modifikacijos:_x000D_
_x000D_
*&lt;pre&gt;_x000D_
Modifikacijų sprendinio šaltinis: LTG_CRM - #96210 FR3-SPRINT1 System Customizations_x000D_
&lt;/pre&gt;*_x000D_
_x000D_
Modifikacijų atlikimo vieta sistemoje:_x000D_
* Modulis "Queue Items"_x000D_
_x000D_
* Queue Items modulis:_x000D_
** Rodiniai (views):_x000D_
*** Paslepiami visi sisteminiai rodiniai išskyrus "All Items", kuriam atliekamos korekcijos._x000D_
*** All Cases in Selected Queues_x000D_
*** Cases Available to Work on_x000D_
*** Cases Created This Week_x000D_
*** Cases I am Working On_x000D_
*** Items available to work on_x000D_
*** Items I am working on_x000D_
*** Replies to My Cases_x000D_
!clipboard-202510221754-tmwer.png!_x000D_
_x000D_
** Rodiniai (views):_x000D_
** Redaguojamas sisteminis rodinys "All Items"(LT. Visi elementai):_x000D_
*** Email Status (Email modulis) (Pritraukiamas naujai sukurtas laukas)_x000D_
*** Entered Queue_x000D_
*** Title_x000D_
*** Regarding(Object)_x000D_
*** Owner (Case)_x000D_
*** Worked By_x000D_
*** Submitted By (Object)_x000D_
*** Senders Account (Object)_x000D_
*** Segment (Reikia atvaizduoti kliento segmentą)(Pritraukiamas laukas)_x000D_
*** Description (Object)_x000D_
*** To (Object)_x000D_
*** Initial Queue (Queue)(Pritraukiamas naujai sukurtas laukas)_x000D_
*** *Papildomi laukeliai laiškų judėjimo stebėjimui (Naujai sukurti Queue Items detalių laukai)*_x000D_
_x000D_
* Vertimai (Queue Items modulis):_x000D_
** Rodinys: All Items &gt; All Queue Items (LT. Visi elementai &gt; Pilnas sąrašas)_x000D_
*** Email Status (Email modulis) (Pritraukiamas naujai sukurtas laukas) - LT. Statusas_x000D_
*** Entered Queue - Įvesta eilė &gt; Gauta_x000D_
*** Title - Pavadinimas &gt; Tema_x000D_
*** Regarding(Object) - Apie Objektas &gt; Susiję_x000D_
*** Owner (Case) - Užklausos savininkas &gt; Užklausos savininkas (Pritraukiamas laukas)_x000D_
*** Worked By - Kas dirbo &gt; Kas dirba?_x000D_
*** Submitted By (Object) - Kas pateikė (Objektas) &gt; Nuo_x000D_
*** Senders Account (Object) - Siuntėjo Klientas (Objektas) &gt; Siuntėjo Klientas_x000D_
*** Segment (???) -&gt; Segmentas (Reikia atvaizduoti kliento segmentą)(Pritraukiamas laukas)_x000D_
*** Description (Object) - Komentarai (Objektas) &gt; Laiško turinys_x000D_
*** To (Object) - Kam (Objektas) &gt; Kam_x000D_
*** Initial Queue (Queue) - Pirminė eilė &gt; Pirminė eilė (Pritraukiamas naujai sukurtas laukas)_x000D_
_x000D_
</t>
        </is>
      </c>
      <c r="R7" t="inlineStr">
        <is>
          <t>2025-09-18</t>
        </is>
      </c>
      <c r="S7" t="inlineStr">
        <is>
          <t>2025-11-07</t>
        </is>
      </c>
      <c r="T7" t="n">
        <v>0</v>
      </c>
      <c r="U7" t="b">
        <v>0</v>
      </c>
      <c r="V7" t="n">
        <v>10</v>
      </c>
      <c r="W7" t="n">
        <v>10</v>
      </c>
      <c r="X7" t="n">
        <v>4.5</v>
      </c>
      <c r="Y7" t="n">
        <v>4.5</v>
      </c>
      <c r="Z7" t="inlineStr">
        <is>
          <t>[List]</t>
        </is>
      </c>
      <c r="AA7" t="inlineStr">
        <is>
          <t>2025-10-16T16:09:44Z</t>
        </is>
      </c>
    </row>
    <row r="8">
      <c r="A8" t="n">
        <v>99739</v>
      </c>
      <c r="B8" t="n">
        <v>512</v>
      </c>
      <c r="C8" t="inlineStr">
        <is>
          <t>LG-D365 CRM Project</t>
        </is>
      </c>
      <c r="D8" t="n">
        <v>2</v>
      </c>
      <c r="E8" t="inlineStr">
        <is>
          <t>Feature</t>
        </is>
      </c>
      <c r="F8" t="n">
        <v>9</v>
      </c>
      <c r="G8" t="inlineStr">
        <is>
          <t>Ready for testing</t>
        </is>
      </c>
      <c r="H8" t="b">
        <v>0</v>
      </c>
      <c r="I8" t="n">
        <v>4</v>
      </c>
      <c r="J8" t="inlineStr">
        <is>
          <t>Normal</t>
        </is>
      </c>
      <c r="K8" t="n">
        <v>875</v>
      </c>
      <c r="L8" t="inlineStr">
        <is>
          <t>VilMat</t>
        </is>
      </c>
      <c r="M8" t="n">
        <v>875</v>
      </c>
      <c r="N8" t="inlineStr">
        <is>
          <t>VilMat</t>
        </is>
      </c>
      <c r="O8" t="n">
        <v>96214</v>
      </c>
      <c r="P8" t="inlineStr">
        <is>
          <t>FR3-SPRINT_1-011 - Queue/Queue Items &gt; Atliekant 'Convert To Case' veiksmą patikrinti ar nėra jau sukurta užklausa (Case)</t>
        </is>
      </c>
      <c r="Q8" t="inlineStr">
        <is>
          <t>h1. Poreikis:_x000D_
_x000D_
Šiuo metu, kai vienu metu su eilėmis dirba ne vienas žmogus, jei jis neperkrauna sistemos tuo pat metu gali vieną laišką paversti užklausą ir su ja dirbti du ar keli žmonės. Taip yra dubliuojama, sugeneruojami papildomi tie patys laiškai kitiems skyriams ir tada neužtikrinamas efektyvumas. Galėtų turėti realiu laiku fiksavimą, jog kai nori konvertuoti užklausą išmestų pranešimą, jog su šitu laišku dirba x žmogus, arba bent rodytų, jog keli žmonės peržiūri laišką._x000D_
Jeigu konvertuoja tą patį laišką du žmonės rodytų pranešimą, kad šis laiškas jau turi užklausą. _x000D_
_x000D_
h1. Patvirtintas poreikis:_x000D_
_x000D_
Sprendimo pasiūlymas:_x000D_
* Galima įtraukti papildomą prevenciją, kad konversijos metu į užklausą/galimybę būtų patikrinama ar šis laiškas jau nėra priskirtas konkrečiai užklausai/galimybei ir jeigu yra - išmestų klaidos pranešimą su mygtuku 'OK' ir atšauktų konversiją._x000D_
Reziumuotas patvirtinimas iš kliento:_x000D_
* Kai vienu metu iš vieno laiško konvertuojama į objektą, sistema užfiksuoja ir sekančiam rodo klaidą užrašu "Klaida. CRM objektas jau sukurtas kito vartotojo"_x000D_
_x000D_
h1. Atliekamos modifikacijos:_x000D_
_x000D_
*&lt;pre&gt;_x000D_
Modifikacijų sprendinio šaltinis: LTG_CRM - #96210 FR3-SPRINT1 System Customizations_x000D_
&lt;/pre&gt;*_x000D_
_x000D_
*Convert To Case custom langas:*_x000D_
* Atliekama kodo korekcija_x000D_
* Po mygtuko 'Confirm' paspaudimo pirmiausia patikrinti sistemoje ar nėra su pasirinktu 'Email' jau susietas 'Case' įrašas_x000D_
* Tikrinama, pagal Email GUID_x000D_
* Sistema ieško Email turi pririštą 'Case' pagal 'Regarding' laukelį_x000D_
* Jeigu neranda:_x000D_
** Vykdo veiksmus esama tvarka - sukuria naują užklausą_x000D_
* Jeigu randa:_x000D_
** Vartotojui iššaukiamas naujas klaidos langas_x000D_
*** Lango viduje atvaizduojamas tekstas EN: Error. Case record already created by another user ; LT: Klaida. CRM objektas jau sukurtas kito vartotojo_x000D_
*** Klaidos lange atvaizduojamas vienas mygtukas 'Confirm'(LT: Patvirtinti)_x000D_
** Po 'Confirm' mygtuko paspaudimo 'Case' įrašo kūrimas atšaukiamas_x000D_
** Priklausomai nuo galimybių, jeigu įmanoma - 'Convert To Case' langas išlaikomas su pasirinkimais. Jeigu neįmanoma - 'Convert To Case' langas uždaromas_x000D_
_x000D_
Rezultatas:_x000D_
* Kuomet vartotojas iš laiško įrašo paspaudžia mygtuką 'Convert To Case' ir iššokusiame lange spaudžia mygtuką 'Confirm' sistema pirmiausia patikrina ar nėra tam laiškui jau sukurtas 'Case' įrašas. Jeigu nėra - sukuria naują 'Case' įrašą ir atveria 'case' įrašo langą. Jeigu yra - Išmeta klaidos pranešimą ir atšaukia 'Case' įrašo kūrimą</t>
        </is>
      </c>
      <c r="R8" t="inlineStr">
        <is>
          <t>2025-09-18</t>
        </is>
      </c>
      <c r="S8" t="inlineStr">
        <is>
          <t>2025-11-07</t>
        </is>
      </c>
      <c r="T8" t="n">
        <v>30</v>
      </c>
      <c r="U8" t="b">
        <v>0</v>
      </c>
      <c r="V8" t="n">
        <v>5</v>
      </c>
      <c r="W8" t="n">
        <v>5</v>
      </c>
      <c r="X8" t="n">
        <v>4.5</v>
      </c>
      <c r="Y8" t="n">
        <v>4.5</v>
      </c>
      <c r="Z8" t="inlineStr">
        <is>
          <t>[List]</t>
        </is>
      </c>
      <c r="AA8" t="inlineStr">
        <is>
          <t>2025-10-16T15:52:13Z</t>
        </is>
      </c>
    </row>
    <row r="9">
      <c r="A9" t="n">
        <v>99738</v>
      </c>
      <c r="B9" t="n">
        <v>512</v>
      </c>
      <c r="C9" t="inlineStr">
        <is>
          <t>LG-D365 CRM Project</t>
        </is>
      </c>
      <c r="D9" t="n">
        <v>2</v>
      </c>
      <c r="E9" t="inlineStr">
        <is>
          <t>Feature</t>
        </is>
      </c>
      <c r="F9" t="n">
        <v>1</v>
      </c>
      <c r="G9" t="inlineStr">
        <is>
          <t>New</t>
        </is>
      </c>
      <c r="H9" t="b">
        <v>0</v>
      </c>
      <c r="I9" t="n">
        <v>4</v>
      </c>
      <c r="J9" t="inlineStr">
        <is>
          <t>Normal</t>
        </is>
      </c>
      <c r="K9" t="n">
        <v>875</v>
      </c>
      <c r="L9" t="inlineStr">
        <is>
          <t>VilMat</t>
        </is>
      </c>
      <c r="M9" t="n">
        <v>875</v>
      </c>
      <c r="N9" t="inlineStr">
        <is>
          <t>VilMat</t>
        </is>
      </c>
      <c r="O9" t="n">
        <v>99737</v>
      </c>
      <c r="P9" t="inlineStr">
        <is>
          <t>FR3-SPRINT_1-010 - Global Settings &gt; Globalioje paieškoje filtruoti pagal įmonės kodą</t>
        </is>
      </c>
      <c r="Q9" t="inlineStr">
        <is>
          <t>h1. Poreikis:_x000D_
_x000D_
Kliento ieškoti bendroje paieškoje ir pagal įmonės kodą, dabar ieško tik pagal pavadinimą_x000D_
_x000D_
h1. Patvirtintas poreikis:_x000D_
_x000D_
Global Search &gt; Pridėti papildomą paieškos rodiklį (įmonės kodas)_x000D_
_x000D_
h1. Atliekamos modifikacijos:_x000D_
_x000D_
*&lt;pre&gt;_x000D_
Modifikacijų sprendinio šaltinis: LTG_CRM - #96210 FR3-SPRINT1 System Customizations_x000D_
&lt;/pre&gt;*_x000D_
_x000D_
*Globalieji nustatymai:*_x000D_
* Į globalios paieškos nustatymus įtraukiamas papildomas filtras galėti ieškoti įrašų, pagal 'Company code'(LT: įmonės kodas) laukelį.</t>
        </is>
      </c>
      <c r="R9" t="inlineStr">
        <is>
          <t>2025-09-18</t>
        </is>
      </c>
      <c r="S9" t="inlineStr">
        <is>
          <t>2025-11-07</t>
        </is>
      </c>
      <c r="T9" t="n">
        <v>0</v>
      </c>
      <c r="U9" t="b">
        <v>0</v>
      </c>
      <c r="V9" t="n">
        <v>1.5</v>
      </c>
      <c r="W9" t="n">
        <v>1.5</v>
      </c>
      <c r="X9" t="n">
        <v>0.5</v>
      </c>
      <c r="Y9" t="n">
        <v>0.5</v>
      </c>
      <c r="Z9" t="inlineStr">
        <is>
          <t>[List]</t>
        </is>
      </c>
      <c r="AA9" t="inlineStr">
        <is>
          <t>2025-10-16T15:33:44Z</t>
        </is>
      </c>
    </row>
    <row r="10">
      <c r="A10" t="n">
        <v>99737</v>
      </c>
      <c r="B10" t="n">
        <v>512</v>
      </c>
      <c r="C10" t="inlineStr">
        <is>
          <t>LG-D365 CRM Project</t>
        </is>
      </c>
      <c r="D10" t="n">
        <v>2</v>
      </c>
      <c r="E10" t="inlineStr">
        <is>
          <t>Feature</t>
        </is>
      </c>
      <c r="F10" t="n">
        <v>2</v>
      </c>
      <c r="G10" t="inlineStr">
        <is>
          <t>In Progress</t>
        </is>
      </c>
      <c r="H10" t="b">
        <v>0</v>
      </c>
      <c r="I10" t="n">
        <v>4</v>
      </c>
      <c r="J10" t="inlineStr">
        <is>
          <t>Normal</t>
        </is>
      </c>
      <c r="K10" t="n">
        <v>875</v>
      </c>
      <c r="L10" t="inlineStr">
        <is>
          <t>VilMat</t>
        </is>
      </c>
      <c r="M10" t="n">
        <v>875</v>
      </c>
      <c r="N10" t="inlineStr">
        <is>
          <t>VilMat</t>
        </is>
      </c>
      <c r="O10" t="n">
        <v>96210</v>
      </c>
      <c r="P10" t="inlineStr">
        <is>
          <t>FR3-SPRINT_1-000 - Global Settings (Bendriniai nustatymai)</t>
        </is>
      </c>
      <c r="Q10" t="inlineStr">
        <is>
          <t>*Sistemos apimtyje atliekami su klientu pasitvirtinti pirmo prioriteto darbai*_x000D_
_x000D_
&lt;pre&gt;_x000D_
Darbai atliekami sprendinyje pavadinimu: LTG_CRM - #96210 FR3-SPRINT1 System Customizations_x000D_
&lt;/pre&gt;</t>
        </is>
      </c>
      <c r="R10" t="inlineStr">
        <is>
          <t>2025-09-15</t>
        </is>
      </c>
      <c r="S10" t="inlineStr">
        <is>
          <t>2025-11-07</t>
        </is>
      </c>
      <c r="T10" t="n">
        <v>0</v>
      </c>
      <c r="U10" t="b">
        <v>0</v>
      </c>
      <c r="W10" t="n">
        <v>1.5</v>
      </c>
      <c r="X10" t="n">
        <v>0</v>
      </c>
      <c r="Y10" t="n">
        <v>0.5</v>
      </c>
      <c r="Z10" t="inlineStr">
        <is>
          <t>[List]</t>
        </is>
      </c>
      <c r="AA10" t="inlineStr">
        <is>
          <t>2025-10-16T15:27:57Z</t>
        </is>
      </c>
    </row>
    <row r="11">
      <c r="A11" t="n">
        <v>99736</v>
      </c>
      <c r="B11" t="n">
        <v>512</v>
      </c>
      <c r="C11" t="inlineStr">
        <is>
          <t>LG-D365 CRM Project</t>
        </is>
      </c>
      <c r="D11" t="n">
        <v>2</v>
      </c>
      <c r="E11" t="inlineStr">
        <is>
          <t>Feature</t>
        </is>
      </c>
      <c r="F11" t="n">
        <v>1</v>
      </c>
      <c r="G11" t="inlineStr">
        <is>
          <t>New</t>
        </is>
      </c>
      <c r="H11" t="b">
        <v>0</v>
      </c>
      <c r="I11" t="n">
        <v>4</v>
      </c>
      <c r="J11" t="inlineStr">
        <is>
          <t>Normal</t>
        </is>
      </c>
      <c r="K11" t="n">
        <v>875</v>
      </c>
      <c r="L11" t="inlineStr">
        <is>
          <t>VilMat</t>
        </is>
      </c>
      <c r="M11" t="n">
        <v>875</v>
      </c>
      <c r="N11" t="inlineStr">
        <is>
          <t>VilMat</t>
        </is>
      </c>
      <c r="O11" t="n">
        <v>96213</v>
      </c>
      <c r="P11" t="inlineStr">
        <is>
          <t>FR3-SPRINT_1-009 - Case &gt; Užklausos main formos vizualinio atvaizdavimo modifikacijos, naujo rodinio kūrimas</t>
        </is>
      </c>
      <c r="Q11" t="inlineStr">
        <is>
          <t>h1. Poreikis:_x000D_
_x000D_
Ar galima keisti laiko juostos išdėstymą. Aiškiau atskirti kur yra laiškai, kurs kiti veiksmai, kurs sisteminiai pranešimai. Platesnis matymas be praplėtimo._x000D_
Filtravimo galimybės_x000D_
Eglė Papildymas:_x000D_
Yra dvi dalys:_x000D_
1.Individualus Filtro nustatymas laiko juostoje (komunikacija dalyje). Kad vartotas galėtų pats nusistatyti ką nori matyti visų objektų laiko juostose (vartotojo lygemenyje, nenustatant visiems). Rūšiavimas pagal datą., Rodyti laiškus kaip pokalbį, kaip atskirus pranešimus. Filtruoti, kad rodytų pagal pasirinkitą veiklos tipą (pvz,: tik laiškus (Ateinantys, išeinantys, juodrasčiai), be sisteminių pranešimų, tiks isteminius pranešimus, tik skambučius_x000D_
*2. Užklausoje santraukoje perdėlioti atskirų blokų išdėstymą, kas padėtų plačiau matyti komunikacijos dalį (reikės konsultacijos)*_x000D_
_x000D_
_x000D_
h1. Patvirtintas poreikis:_x000D_
_x000D_
*Užklausos atvaizdavimo keitimas/eiliškumas:*_x000D_
* *Skirtukas "Santrauka"(Summary):*_x000D_
** Užklausos detalės - viskas taip pat. Keičiamas vietos užimamumas į 1/3, _x000D_
** Komunikacija - keičiamas vietos užimamumas į 2/3_x000D_
** Atvejo suvestinė - perkeliama virš komunikacijos_x000D_
** Pagalba - perkeliama po komunikacija_x000D_
** Susiję su užklausa -  perkeliama po Užklausos detalės_x000D_
* *Skirtukas - Vidinės užduotys - nekeičiama(vidus liekas tas pats)*_x000D_
* *Skirtukas - Dokumentai - nekeičiamas(vidus lieka tas pats)*_x000D_
* *Skirtukas - Kliento 360:*_x000D_
** Įtraukti, kad rodytų ir užklausas sukurtas tam pačiam klientui (Naujas subgrid, antras nuo viršaus)_x000D_
** Užklausų dalyje rodytų - užklausos numerį, užklausos pavadinimas, būseną,  Kreipinio tema, kreipinio potemė, sukūrimo datą, savininką, Klientą_x000D_
** Eiliškumas būtų: sutartys, užklausos, galimybės_x000D_
** Rodytų visas užklausas_x000D_
** Užklausų Sub-lentelėje galėti filtruoti pagal būseną._x000D_
*** Rodytų pagal sukūrimo datą nuo naujausio iki seniausio._x000D_
** Galimybių dalyje rodytų pagal sukūrimo datą nuo naujausio iki seniausio._x000D_
** Sub-lentelėje Galimybės, užkeičiame lauką Potencialus klientas į Klientas._x000D_
* *SLA skirtukas - pagal pateiktą poreikį SLA poreikyje #99735 *_x000D_
_x000D_
* *Susiję įrašai  - vaizdavimas/ slėpimas:*_x000D_
** Tikrinimo retrospektyva - rodomas_x000D_
** Veiklos - rodomas_x000D_
** Atvejo valdymo agento..... -  Paslėpti_x000D_
** Suminiai proceso etapų laikai  - Paslėpti_x000D_
** Paskesni veiksmai - Paslėpti_x000D_
_x000D_
*Case &gt; Timeline &gt; email &gt; nerodyti įrašo statuso. (email form korekcija).*_x000D_
_x000D_
h1. Atliekamos modifikacijos:_x000D_
_x000D_
*&lt;pre&gt;_x000D_
Modifikacijų sprendinio šaltinis: LTG_CRM - #96210 FR3-SPRINT1 System Customizations_x000D_
&lt;/pre&gt;*_x000D_
_x000D_
Modifikacijų atlikimo vieta sistemoje:_x000D_
* Case modulis_x000D_
_x000D_
*Case atvaizdavimo keitimas/eiliškumas:*_x000D_
* *Skirtukas "Santrauka"(Summary):*_x000D_
** Užklausos detalės - išdėstymas nekeičiamas. Keičiamas vietos užimamumas į 1/3; _x000D_
** Komunikacija - keičiamas vietos užimamumas į 2/3_x000D_
** Atvejo suvestinė - perkeliama virš komunikacijos_x000D_
** Pagalba - perkeliama po komunikacija_x000D_
** Susiję su užklausa -  perkeliama po Užklausos detalės_x000D_
* *Skirtukas - Vidinės užduotys - nekeičiama*_x000D_
* *Skirtukas - Dokumentai - nekeičiamas*_x000D_
_x000D_
* *Skirtukas - Kliento 360:*_x000D_
** *Išdėstymas:* Agreements, Cases, Opportunities_x000D_
** Sukuriamas naujas case rodinys(view) pavadinimu "All Cases Related to Account"(LT: Visos užklausos susijusios su klientu):_x000D_
*** Rodinys atvaizduoja visas užklausas_x000D_
*** Rodinys atvaizduoja eilutes pagal sukūrimo datą nuo naujausio iki seniausio._x000D_
*** Rodinio(view) stulpelių atvaizdavimas - užklausos numeris, užklausos pavadinimas, būseną, kreipinio tema, kreipinio potemė, sukūrimo datą, savininkas, Klientas_x000D_
** Atliekama modifikacija Account modulio quick view formai 'Agreements/Opportunities/Quotes subgrids'_x000D_
*** Pakeičiamas formos pavadinimas į 'Agreements/Cases/Opportunities subgrids'_x000D_
*** Po Agreements sub-grid'u įterpiamas sub-grid pavadinimu "All Cases Related to Account" atvaizduojantis visas užklausas, kurios sukurtos case įraše nurodytam 'Account' įrašui. Esant būtinybei pritaikomi sub-grid filtrai._x000D_
*** Užklausų sub-lentelėje "All Cases Related to Account" įgalinamas filtravimas pagal būseną(status/status reason)._x000D_
** Galimybių sub-grid pakoreguojamas, kad eilutes rodytų pagal sukūrimo datą nuo naujausio iki seniausio. (Tikėtina labiau apsimoka sukurti dublikatinį rodinį)_x000D_
** Sub-lentelėje Galimybės, užkeičiame lauką Potencialus klientas į Klientas._x000D_
* *SLA skirtukas - pagal pateiktą poreikį SLA poreikyje #99735 *_x000D_
_x000D_
* *Susiję įrašai  - vaizdavimas/ slėpimas:*_x000D_
** Audit History(LT: Tikrinimo retrospektyva) - rodomas_x000D_
** Activities(LT: Veiklos) - rodomas_x000D_
** Case Management Agent for case closure Activities/Monitoring (LT: Atvejo valdymo agento...) parinktys -  Paslepiamos_x000D_
** PSD Totals (LT: Suminiai proceso etapų laikai)  - Paslėpti_x000D_
** Next Actions (LT: Paskesni veiksmai) - Paslėpti_x000D_
_x000D_
*Case sklaidos kanalo(Timeline) 'Email' kortelės modifikacijos:*_x000D_
** Atliekama modifikacija nerodyti įrašo statuso. 'Closed, Active' (jeigu sistema leidžia)_x000D_
** Pakeičiamas 'Status' lauko atvaizdavimas į 'Status Reason' lauko atvaizdavimą (jeigu sistema leidžia)_x000D_
_x000D_
*Atliekami vertimai į LT kalbą:*_x000D_
* Case rodinys(view) pavadinimu "All Cases Related to Account" &gt; LT: Visos užklausos susijusios su klientu_x000D_
* Account modulio quick view formai 'Agreements/Cases/Opportunities subgrids' &gt; LT: Sutarčių/Užklausų/Galimybių sub-lentelės</t>
        </is>
      </c>
      <c r="R11" t="inlineStr">
        <is>
          <t>2025-09-18</t>
        </is>
      </c>
      <c r="S11" t="inlineStr">
        <is>
          <t>2025-11-07</t>
        </is>
      </c>
      <c r="T11" t="n">
        <v>0</v>
      </c>
      <c r="U11" t="b">
        <v>0</v>
      </c>
      <c r="V11" t="n">
        <v>10</v>
      </c>
      <c r="W11" t="n">
        <v>10</v>
      </c>
      <c r="X11" t="n">
        <v>4.5</v>
      </c>
      <c r="Y11" t="n">
        <v>4.5</v>
      </c>
      <c r="Z11" t="inlineStr">
        <is>
          <t>[List]</t>
        </is>
      </c>
      <c r="AA11" t="inlineStr">
        <is>
          <t>2025-10-16T15:23:33Z</t>
        </is>
      </c>
    </row>
    <row r="12">
      <c r="A12" t="n">
        <v>99735</v>
      </c>
      <c r="B12" t="n">
        <v>512</v>
      </c>
      <c r="C12" t="inlineStr">
        <is>
          <t>LG-D365 CRM Project</t>
        </is>
      </c>
      <c r="D12" t="n">
        <v>2</v>
      </c>
      <c r="E12" t="inlineStr">
        <is>
          <t>Feature</t>
        </is>
      </c>
      <c r="F12" t="n">
        <v>1</v>
      </c>
      <c r="G12" t="inlineStr">
        <is>
          <t>New</t>
        </is>
      </c>
      <c r="H12" t="b">
        <v>0</v>
      </c>
      <c r="I12" t="n">
        <v>4</v>
      </c>
      <c r="J12" t="inlineStr">
        <is>
          <t>Normal</t>
        </is>
      </c>
      <c r="K12" t="n">
        <v>875</v>
      </c>
      <c r="L12" t="inlineStr">
        <is>
          <t>VilMat</t>
        </is>
      </c>
      <c r="M12" t="n">
        <v>875</v>
      </c>
      <c r="N12" t="inlineStr">
        <is>
          <t>VilMat</t>
        </is>
      </c>
      <c r="O12" t="n">
        <v>96213</v>
      </c>
      <c r="P12" t="inlineStr">
        <is>
          <t>FR3-SPRINT_1-008 - Case &gt; Stage Duration modulio korekcijos &gt; Paskaičiuotą laiką atvaizduoti minutėmis, sukurti išsprendimo laiko laukelį, rodinio korekcijos</t>
        </is>
      </c>
      <c r="Q12" t="inlineStr">
        <is>
          <t>h1. Poreikis:_x000D_
_x000D_
SLA skirtuke neskaičiuoja užklausos išsprendimo laiko._x000D_
Peržiūrėti SLA skirtuką ir suprsti kokia skaičiavimo logika_x000D_
_x000D_
h1. Patvirtintas poreikis:_x000D_
_x000D_
Atnaujintas ir iškeltas naujas poreikis:_x000D_
Stage duration laukelių korekcijos atvaizduoti skaitinę vertę minutėmis(vietoje valandų);_x000D_
Naujo laukelio Resolution duration (Resolved) sukūrimas ir vertės įrašymas nuo Process stage duration (Totals) lentelėje fiksuojamų įrašų bendros sumos;_x000D_
Process stage duration modulio atvaizduojamos sub-lentelės Case įraše stulpelių išdėstymo korekcijos bei eiliškumo(sorting) keitimas;_x000D_
_x000D_
Detalizacija:_x000D_
*Užklausoje, Skirtukas SLA:*_x000D_
* Skaičiuoti minutėmis (dabar skaičiuoja valandomis)_x000D_
** Resolution duration (Closed)_x000D_
** Resolution duration (Resolved)_x000D_
* *Turi matytis (eiliškumas):*_x000D_
** *SLA veiksmai*_x000D_
*** Sukūrimo data -&gt; data ir laikas_x000D_
*** Numatoma uždarymo data -&gt; data_x000D_
*** Uždaryta -&gt; data ir laikas_x000D_
*** Sprendimo trukmė (uždaryta) -&gt; Skaičiuoti minutėmis (dabar skaičiuoja valandomis). Resolution duration (Closed)_x000D_
*** Sprendimo trukmė išspręsta) -&gt; slėpti laukelį._x000D_
*** Naujas laukelis Sprendimo trukmė išspręsta Resolution duration (Resolved) -&gt; skaičiuoti minutėmis, o rezultatas susumuojamas iš Process stage duration (Totals) sukurtų įrašų konkrečiai užklausai._x000D_
*** Atsakymas patvirtintas -&gt; prašymas paslėpti._x000D_
** *Proceso etapo trukmė (Suminė) - rodo proceso žingsnius, kurie buvo pasirinkti sprendžiant užklausą.*_x000D_
*** Reikalinga, kad rodytų nuo Ilgiausia laiko iki trumpiausia laiko (minutės) (sorting)_x000D_
*** Stulpelių išdėstymas:_x000D_
**** Etapo pavadinimas_x000D_
**** Naujas laukelis - Pakartojimai (kiek kartų buvo naudotas žingsnis (suskaičiuoti process stages duration vienodus įrašus))_x000D_
**** Trukmė minutėmis_x000D_
**** Trukmė valandomis_x000D_
**** Trukmė dienomis_x000D_
** *Proceso etapo trukmė (eiliškumas) - rodo visus proceso žingsnius.*_x000D_
*** Nuo naujausio iki seniausio (pradžia)_x000D_
*** Etapo pavadinimas (dabar tema)_x000D_
*** Pradžia - data ir laikas (taip, kaip dabar)_x000D_
*** Pabaiga - data ir laikas (taip, kaip dabar)_x000D_
*** Trukmė minutėmis_x000D_
*** Trukmė valandomis_x000D_
*** Trukmė dienomis_x000D_
*** Vilintas pasitikrina, kas yra Pakartojimo pradžia/pabaiga ir jeigu neturi įtakos išimti iš rodinio._x000D_
** *SLA KPI atvejai*_x000D_
*** Palikti taip kaip yra. Nukelti sekciją/sub-lentelę į skirtuko apačią._x000D_
_x000D_
h1. Atliekamos modifikacijos:_x000D_
_x000D_
*&lt;pre&gt;_x000D_
Modifikacijų sprendinio šaltinis: LTG_CRM - #96210 FR3-SPRINT1 System Customizations_x000D_
&lt;/pre&gt;*_x000D_
_x000D_
Modifikacijų atlikimo vieta sistemoje:_x000D_
* Modulis "Process stage duration"_x000D_
* Modulis "Process stage duration (Totals)"_x000D_
* Modulis "Case"_x000D_
_x000D_
* *Case modulis:*_x000D_
* Pakeičiami laukų skaičiavimui iš valandų į minutes:_x000D_
** Resolution duration (Closed)_x000D_
** Resolution duration (Resolved)_x000D_
* Case main forma:_x000D_
** Skirtuke SLA veiksmai keičiamas išdėstymas ir laukų atvaizdavimas tokiu eiliškumu:_x000D_
*** *Sekcija SLA veiksmai:*_x000D_
**** Sukūrimo data -&gt; data ir laikas -&gt; keičiama pozicija_x000D_
**** Numatoma uždarymo data -&gt; data -&gt; keičiama pozicija_x000D_
**** Uždaryta -&gt; data ir laikas -&gt; keičiama pozicija_x000D_
**** Resolution duration (Closed)(LT Sprendimo trukmė (uždaryta)) -&gt; Keičiama laukelio formulė skaičiuoti minutėmis(dabar skaičiuoja valandomis)._x000D_
**** Sprendimo trukmė (išspręsta) -&gt; Laukas paslepiamas._x000D_
**** Resolution duration (Resolved)(LT "Sprendimo trukmė išspręsta")_x000D_
**** Atsakymas patvirtintas -&gt; Laukas paslepiamas._x000D_
**** Keičiama pozicija Sub-lentelės "Process Stage Duration (Totals)" atvaizduoti iškarto po sekcijos "SLA veiksmai"_x000D_
**** Keičiama pozicija Sub-lentelės "Process stage duration" atvaizduoti iškarto po sekcijos "Process Stage Duration(Totals)"_x000D_
**** Keičiama pozicija sekcijos "SLA KPI atvejai" atvaizduoti iškarto po sekcijos "Process stage duration"_x000D_
* Sukuriamas naujas whole number laukelis "Resolution duration (Resolved)"(LT "Sprendimo trukmė išspręsta") skirtas atvaizduoti visų suminių sla proceso etapų praleistą laiko sumą minutėmis_x000D_
** *(DEV)* Laukelyje atvaizduojama vertė lygi minutėms, o rezultatas susumuojamas iš *"Process stage duration (Totals)"* sukurtų įrašų konkrečiai užklausai._x000D_
_x000D_
* *"Process Stage Duration (Totals)"(PSD Totals) modulis:*_x000D_
* Keičiamas Case įraše rodomo "Process stage duration (Totals)" sekcijos rodinio *"Case PSD totals"* eiliškumo ir rikiavimo išdėstymas:_x000D_
** Rikiavimas nuo ilgiausio iki trumpiausio pagal 'Praleistų minučių' stulpelį_x000D_
** Stulpelių išdėstymas:_x000D_
*** Etapo pavadinimas_x000D_
*** Pakartojimai (naujas laukelis)_x000D_
*** Trukmė minutėmis_x000D_
*** Trukmė valandomis_x000D_
*** Trukmė dienomis_x000D_
* Sukuriamas naujas whole number laukelis "Stage Repetitions"(LT "Pakartojimai") skirtas užfiksuoti, kiek kartų buvo panaudotas etapas remiantis 'Process stage duration' įrašų sukūrimo kiekiu._x000D_
** *(DEV)* Sukuriamas workflow arba panaudojamas kodas atnaujinti Process Stage Duration(Totals) sukurtą įrašą užklausai kiekvieną kartą kai sukuriamas naujas 'Process stage duration' įrašas tiesiogiai susijęs su 'Process Stage Duration(totals)' įrašu._x000D_
** Sukuriama užklausa &gt; Aktyvuojasi BPF etapas &gt; Susikuria 'Stage duration' įrašas -&gt; Pereinama į kitą BPF etapą &gt; Susikuria naujas 'Stage duration įrašas' &gt; Sukuriamas Stage Duration(totals) įrašas prieš tai buvusiam 'Stage duration' įrašui &gt; į 'Stage duration(totals)' įraše esantį naują lauką įrašomas skaičius '1'_x000D_
** Jeigu eiga pasikartoja ir susikuria dar vienas to paties BPF etapo 'Stage duration' įrašas -&gt; 'Stage duration(totals)' įrašas atnaujinamas '+1'(1 &gt; 2) kai pakeičiamas dar kartą BPF etapas_x000D_
_x000D_
* *"Process Stage Duration" modulis"(Stage Duration):*_x000D_
* Keičiamas Case įraše rodomo "Process stage duration sekcijos rodinio " *"All Stage Duration"* eiliškumo ir rikiavimo išdėstymas:_x000D_
** Rikiavimas nuo naujausio iki seniausio pagal 'Actual Start' stulpelį_x000D_
** Stulpelių išdėstymas:_x000D_
*** Subject (Tema (naujas vertimas LT &gt; Etapo pavadinimas))_x000D_
*** Pradžia (actual start)_x000D_
*** Pabaiga (actual end)_x000D_
*** Trukmė minutėmis (Duration (minutes))_x000D_
*** Trukmė valandomis (Duration (hours))_x000D_
*** Trukmė dienomis (Duration (days))_x000D_
* Keičiamas 'Subject' lauko pavadinimas:_x000D_
** EN: Subject &gt; Stage Name_x000D_
** LT: Tema &gt; Etapo pavadinimas_x000D_
_x000D_
*Atliekami vertimai laukeliams:* _x000D_
* Resolution duration (Resolved) &gt; LT: "Sprendimo trukmė išspręsta"_x000D_
* Stage Repetitions &gt; LT: "Pakartojimai_x000D_
* Subject laukas:_x000D_
** EN: Subject &gt; Stage Name_x000D_
** LT: Tema &gt; Etapo pavadinimas</t>
        </is>
      </c>
      <c r="R12" t="inlineStr">
        <is>
          <t>2025-09-18</t>
        </is>
      </c>
      <c r="S12" t="inlineStr">
        <is>
          <t>2025-11-07</t>
        </is>
      </c>
      <c r="T12" t="n">
        <v>20</v>
      </c>
      <c r="U12" t="b">
        <v>0</v>
      </c>
      <c r="V12" t="n">
        <v>6</v>
      </c>
      <c r="W12" t="n">
        <v>6</v>
      </c>
      <c r="X12" t="n">
        <v>3</v>
      </c>
      <c r="Y12" t="n">
        <v>3</v>
      </c>
      <c r="Z12" t="inlineStr">
        <is>
          <t>[List]</t>
        </is>
      </c>
      <c r="AA12" t="inlineStr">
        <is>
          <t>2025-10-16T14:37:12Z</t>
        </is>
      </c>
    </row>
    <row r="13">
      <c r="A13" t="n">
        <v>99716</v>
      </c>
      <c r="B13" t="n">
        <v>512</v>
      </c>
      <c r="C13" t="inlineStr">
        <is>
          <t>LG-D365 CRM Project</t>
        </is>
      </c>
      <c r="D13" t="n">
        <v>2</v>
      </c>
      <c r="E13" t="inlineStr">
        <is>
          <t>Feature</t>
        </is>
      </c>
      <c r="F13" t="n">
        <v>1</v>
      </c>
      <c r="G13" t="inlineStr">
        <is>
          <t>New</t>
        </is>
      </c>
      <c r="H13" t="b">
        <v>0</v>
      </c>
      <c r="I13" t="n">
        <v>4</v>
      </c>
      <c r="J13" t="inlineStr">
        <is>
          <t>Normal</t>
        </is>
      </c>
      <c r="K13" t="n">
        <v>875</v>
      </c>
      <c r="L13" t="inlineStr">
        <is>
          <t>VilMat</t>
        </is>
      </c>
      <c r="M13" t="n">
        <v>875</v>
      </c>
      <c r="N13" t="inlineStr">
        <is>
          <t>VilMat</t>
        </is>
      </c>
      <c r="O13" t="n">
        <v>96213</v>
      </c>
      <c r="P13" t="inlineStr">
        <is>
          <t>FR3-SPRINT_1-007 - Case &gt; Verslo proceso juostos modifikacijos pridedant naujus laukus, Case formos modifikacijos</t>
        </is>
      </c>
      <c r="Q13" t="inlineStr">
        <is>
          <t>h1. Poreikis:_x000D_
_x000D_
Užklausos proceso žingsniuose: _x000D_
Vidinė konsultacija_x000D_
Išorinė konsultacija_x000D_
Atsakingo asmens sprendimas_x000D_
Papildyti laukais, kuriuose žymimas asmuo arba komanda._x000D_
_x000D_
h1. Patvirtintas poreikis:_x000D_
_x000D_
Užklausos proceso žingsniuose papildyti laukais, kuriuose žymimas asmuo arba komanda._x000D_
Vidinė konsultacija_x000D_
Išorinė konsultacija_x000D_
Atsakingo asmens sprendimas_x000D_
_x000D_
*Užklausa &gt; Vidinė konsultacija*_x000D_
Papildyti nauju laukeliu Komanda konsultuoja - galima pasirinkti CRM esančią komandą._x000D_
Laukas neprivalomas._x000D_
Šis naujas laukelis atsiranda prieš Kolega konsultuoja._x000D_
Jeigu užpildomas laukas Komanda konsultuoja arba Kolega konsultuoja, tuomet atsiranda toks pats naujas laukas žemiau - Iki 5 laukelių._x000D_
_x000D_
*Užklausa &gt; Išorinė konsultacija*_x000D_
Padaryti galimybę  įvesti daugiau išorės konsultantų žymėjimų._x000D_
Jeigu užpildoma  Išorės konsultantas, Planuojama konsultanto atsakymo data, tai parodomi nauji  laukai - Išorės konsultantas, Išorės komentaras, Planuojama konsultanto atsakymo data. Darome 5 pakartojimus._x000D_
Privalomas pildymas yra tik pirmą kartą suvedant laukelius Išorės konsultantas, Planuojama konsultanto atsakymo data._x000D_
Išmesti pranešimą 'datos' laukeliui tuo atveju, jeigu "numatoma uždarymo data" lauke esanti data yra ankstesnė nei pasirinkta 'datos' lauke;_x000D_
_x000D_
*Užklausa &gt; Atsakingo asmens sprendimas*_x000D_
Padaryti galimybę  įvesti daugiau Atsakingo asmens sprendimas žymėjimų._x000D_
Jeigu užpildoma  Atsakingas asmuo, Atsakingo sprendimas, Atsakingo atsakymo data, tai parodomi nauji  laukai  - Atsakingas asmuo, Atsakingo sprendimas, Atsakingo atsakymo data. Darome 5 pakartojimus._x000D_
Privalomas pildyti tik pirmas._x000D_
Išmesti pranešimą 'datos' laukeliui tuo atveju, jeigu "numatoma uždarymo data" lauke esanti data yra ankstesnė nei pasirinkta 'datos' lauke;_x000D_
_x000D_
*Užduotis klientui:* _x000D_
Išmesti pranešimą 'datos' laukeliui tuo atveju, jeigu "numatoma uždarymo data" lauke esanti data yra ankstesnė nei pasirinkta 'datos' lauke;_x000D_
_x000D_
Sustabdyta:_x000D_
Išmesti pranešimą 'datos' laukeliui tuo atveju, jeigu "numatoma uždarymo data" lauke esanti data yra ankstesnė nei pasirinkta 'datos' lauke;_x000D_
_x000D_
Rengiamas atsakymas:_x000D_
Išmesti pranešimą 'datos' laukeliui tuo atveju, jeigu "numatoma uždarymo data" lauke esanti data yra ankstesnė nei pasirinkta 'datos' lauke;_x000D_
_x000D_
*Užklausa &gt; SLA*_x000D_
Case:_x000D_
*SLA skirtukas &gt; Nauja sekcija:*_x000D_
Nauja sekcija paskaičiavimams pavadinimu "Skaičiuoklė"_x000D_
Į sekciją perkelti: iš summary skirtuko 'Laiškų išsiųsta/gauta'(2laukai);_x000D_
Sukurti naują lauką atvaizduoti skaičių, kiek vartotojų priskirta 'Kolega konsultuoja' laukeliuose (vidinės konsultacijos BPF stage)_x000D_
Tas Pats galioja ir su 'Komanda konsultuoja'_x000D_
Sukurti naują lauką atvaizduoti skaičių, kiek vartotojų priskirta 'Išorės konsultantas' laukeliuose (išorinė konsultacija BPF stage)_x000D_
Sukurti naują lauką atvaizduoti skaičių, kiek vartotojų priskirta 'Atsakingas asmuo' laukeliuose (Atsakingo asmens sprendimas BPF stage)_x000D_
Papildomas laukas skirtas atvaizduoti, kiek viso sukurta užduočių per užklausą (nesvarbu atviros/uždarytos)_x000D_
_x000D_
h1. Atliekamos modifikacijos:_x000D_
_x000D_
*&lt;pre&gt;_x000D_
Modifikacijų sprendinio šaltinis: LTG_CRM - #96210 FR3-SPRINT1 System Customizations_x000D_
&lt;/pre&gt;*_x000D_
_x000D_
*Sisteminės vietos:*_x000D_
* Užklausų(case) modulyje;_x000D_
* Užklausų verslo proceso juostoje(BPF);_x000D_
* Sistemos vertimuose;_x000D_
_x000D_
*Užklausos forma (Case):*_x000D_
Skyrius "SLA":_x000D_
* Sukuriama nauja sekcija Calculations(LT 'Skaičiuoklė'). _x000D_
* Perkeliami į sekciją laiškų skaičiavimo laukeliai (Summary &gt; Sent Emails, Received Emails)_x000D_
* Perkeliami į sekciją žemiau išvardinti nauji laukeliai:_x000D_
** Sukuriamas naujas whole number tipo laukas *"Internal Consultant Reassignments"(LT "Kolega konsultuoja perskyrimai")* atvaizduoti skaičių, kiek vartotojų priskirta 'Kolega konsultuoja'(Internal Consultant) laukeliuose (vidinės konsultacijos BPF stage)_x000D_
** Sukuriamas naujas whole number tipo laukas *"Internal Team Reassignments"(LT "Komanda konsultuoja perskyrimai")* atvaizduoti skaičių, kiek komandų priskirta 'Komanda konsultuoja'(Internal Team Support) laukeliuose (vidinės konsultacijos BPF stage)_x000D_
** Sukuriamas naujas whole number tipo laukas *"External Consultant Reassignments"(LT "Išorės konsultanto perskyrimai")"* atvaizduoti skaičių, kiek vartotojų priskirta 'Išorės konsultantas'(responsiblecontactid) laukeliuose (išorinė konsultacija BPF stage)_x000D_
** Sukuriamas naujas laukas *"Responsible Person Reassignments(LT "Atsakingo asmens perskyrimai")"* atvaizduoti skaičių, kiek vartotojų priskirta 'Atsakingas asmuo'(Responsible Person(goerp_responsibleuser)) laukeliuose (Atsakingo asmens sprendimas BPF stage)_x000D_
** Sukuriamas naujas whole number tipo laukas *"Total Tasks Created(LT "Viso sukurta užduočių")"* skirtas atvaizduoti, kiek viso sukurta užduočių per užklausą (nesvarbu atviros/uždarytos)_x000D_
** *(DEV)* Sukuriamas workflow/plugin skirtas skaičiuoti ir atnaujinti laukelio "Total Tasks Created" vertę kiekvieną kartą kai sukuriama nauja užduotis(Task), kuri surišta su užklausos(Case) įrašu_x000D_
_x000D_
*Proceso žingsnis 'Vidinė konsultacija'(Internal Communication):*_x000D_
* 5vnt naujų lookup tipo laukelių *"Internal Team Support"(LT "Komanda konsultuoja")* leidžiančių pasirinkti komandą (team). Laukai neprivalomi._x000D_
* 4vnt naujų lookup tipo laukelių *"Internal Consultant"(LT "Kolega konsultuoja")* leidžiančių pasirinkti vartotoją (user). Laukai neprivalomi._x000D_
* Sukuriamos *verslo taisyklės* , kurios valdo, kada atvaizduoti laukelius komanda 2,3,4,5/kolega 2,3,4,5_x000D_
* Jeigu užpildomas pirmas komanda arba kolega laukelis, tuomet sistema atvaizduoja antrą porą kolega/komanda laukelių._x000D_
* Jeigu užpildomas antras komanda arba kolega laukelis, tuomet sistema atvaizduoja trečią porą kolega/komanda laukelių._x000D_
* Toks atvaizdavimo būdas sukuriamas iki atvaizduojama penkta pora laukelių komanda/kolega._x000D_
_x000D_
*Proceso žingsnis 'Išorės konsultacija'(Outsource Communication):*_x000D_
* 4vnt. naujų lookup tipo laukelių *"External Consultant Support"(LT "Išorės konsultantas")* leidžiančių pasirinkti vartotoją(user). Laukeliai neprivalomi._x000D_
* 4vnt. naujų tekstinių(multi-line text) laukelių *"External Consultant Comments"(LT "Išorės komentaras")* leidžiančių įrašyti komentarą (išorės komentaras). Laukeliai neprivalomi._x000D_
* 4vnt. naujų datos(date only) laukelių *"Estimated External Consultant Response Date"(LT "Planuojama konsultanto atsakymo data")* leidžiančių pasirinkti norimą datą(numatoma uždarymo data). Laukeliai neprivalomi. Atvaizduojamas pasirinkimas - tik data._x000D_
* Sukuriamos *verslo taisyklės* , kurios valdo, kada atvaizduoti laukelius 'išorės konsultantas2,3,4,5/išorės komentaras2,3,4,5/Planuojama konsultanto atsakymo data2,3,4,5';_x000D_
* Jeigu užpildomi pirmi du laukeliai 'Išorės konsultantas' ir 'Planuojama konsultanto atsakymo data', tai sistemos verslo taisyklė parodo sekantį laukų trio;_x000D_
* Toks atvaizdavimo būdas sukuriamas iki atvaizduojamas penktas laukelių trio('išorės konsultantas/išorės komentaras/Planuojama konsultanto atsakymo data')_x000D_
_x000D_
*Proceso žingsnis 'Atsakingo asmens sprendimas'(Responsible User Decision):*_x000D_
* 4vnt. naujų lookup tipo laukelių *"Responsible User (LT "Atsakingas asmuo")"* leidžiančių pasirinkti vartotoją (user). Laukeliai neprivalomi._x000D_
* 4vnt. naujų tekstinių(multi-line text) laukelių *"Responsible User Decision (LT "Atsakingo sprendimas")"* leidžiančių įrašyti komentarą(atsakingo sprendimas). Laukeliai neprivalomi._x000D_
* 4vnt. naujų datos(date only) laukelių *"Responsible User Response Date (LT "Atsakingo atsakymo data")"* leidžiančių pasirinkti norimą datą(atsakingo atsakymo data). Laukeliai neprivalomi. Atvaizduojamas pasirinkimas - tik data._x000D_
* Sukuriamos *verslo taisyklės* , kurios valdo, kada atvaizduoti laukelius 'Atsakingas asmuo2/3/4/5, Atsakingo sprendimas2/3/4/5, Atsakingo atsakymo data2/3/4/5'._x000D_
* Jeigu užpildomi pirmi trys laukai 'Atsakingas asmuo, Atsakingo sprendimas, Atsakingo atsakymo data', tai sistemos verslo taisyklė parodo sekantį laukų trio;_x000D_
* Toks atvaizdavimo būdas sukuriamas iki atvaizduojamas penktas laukelių trio('Atsakingas asmuo, Atsakingo sprendimas, Atsakingo atsakymo data')_x000D_
_x000D_
*Kitos verslo taisyklės:*_x000D_
* Rodyti pranešimą, jeigu 'uždarymo data' laukelyje esanti data yra senesnė nei pasirinkta apibrėžtame lauke._x000D_
** Pranešimo tekstas kopijuojamas nuo jau sukurto 'Estimated Consultant Response Date' laukelio verslo taisyklės._x000D_
** Verslo taisyklėmis apibrėžiami laukai:_x000D_
*** 4vnt. Planuojama konsultanto atsakymo data ("Estimated External Consultant Response Date") (BPF: Outsource Communication)_x000D_
*** 4vnt. Atsakingo atsakymo data ("Responsible User Response Date") (BPF: Responsible User Decision)_x000D_
*** 1vnt. Customer Response Date (BPF: Task to Customer)_x000D_
*** 1vnt. On Hold Expiry Date (BPF: On Hold)_x000D_
*** 1vnt. Planned Preparation Date (BPF: Preparing Answer)_x000D_
_x000D_
*Vertimai:*_x000D_
* Atliekami vertimai į lietuvių kalbą sistemoje naujai sukurtiems laukams.</t>
        </is>
      </c>
      <c r="R13" t="inlineStr">
        <is>
          <t>2025-09-18</t>
        </is>
      </c>
      <c r="S13" t="inlineStr">
        <is>
          <t>2025-11-07</t>
        </is>
      </c>
      <c r="T13" t="n">
        <v>20</v>
      </c>
      <c r="U13" t="b">
        <v>0</v>
      </c>
      <c r="V13" t="n">
        <v>22.5</v>
      </c>
      <c r="W13" t="n">
        <v>22.5</v>
      </c>
      <c r="X13" t="n">
        <v>10.5</v>
      </c>
      <c r="Y13" t="n">
        <v>10.5</v>
      </c>
      <c r="Z13" t="inlineStr">
        <is>
          <t>[List]</t>
        </is>
      </c>
      <c r="AA13" t="inlineStr">
        <is>
          <t>2025-10-16T13:17:59Z</t>
        </is>
      </c>
    </row>
    <row r="14">
      <c r="A14" t="n">
        <v>96243</v>
      </c>
      <c r="B14" t="n">
        <v>512</v>
      </c>
      <c r="C14" t="inlineStr">
        <is>
          <t>LG-D365 CRM Project</t>
        </is>
      </c>
      <c r="D14" t="n">
        <v>2</v>
      </c>
      <c r="E14" t="inlineStr">
        <is>
          <t>Feature</t>
        </is>
      </c>
      <c r="F14" t="n">
        <v>9</v>
      </c>
      <c r="G14" t="inlineStr">
        <is>
          <t>Ready for testing</t>
        </is>
      </c>
      <c r="H14" t="b">
        <v>0</v>
      </c>
      <c r="I14" t="n">
        <v>4</v>
      </c>
      <c r="J14" t="inlineStr">
        <is>
          <t>Normal</t>
        </is>
      </c>
      <c r="K14" t="n">
        <v>875</v>
      </c>
      <c r="L14" t="inlineStr">
        <is>
          <t>VilMat</t>
        </is>
      </c>
      <c r="M14" t="n">
        <v>875</v>
      </c>
      <c r="N14" t="inlineStr">
        <is>
          <t>VilMat</t>
        </is>
      </c>
      <c r="O14" t="n">
        <v>96214</v>
      </c>
      <c r="P14" t="inlineStr">
        <is>
          <t>FR3-SPRINT_1-006 - Queue Items/Queues - Force refresh rodinio sąrašą su custom kodu</t>
        </is>
      </c>
      <c r="Q14" t="inlineStr">
        <is>
          <t>h1. Poreikis:_x000D_
_x000D_
Į CRM laiškai sukrenta tik kas kažkiek laiko, jei nori, kad greičiau, tai turi maigyti mygtuką "Atnaujinti"_x000D_
Sutrumpinti sistemos automatinį atnaujinimo laiką, kad nereikėtų rankiniu būdu spaudyti atnaujinti. Per bandymą nespaudėme atnaujinti ir laiškas neįkrito automatiškai į CRM per 6min. (negalėjome ilgai laukti, nes laiškas buvo operatyvus) _x000D_
_x000D_
h1. Patvirtintas poreikis:_x000D_
_x000D_
Atnaujinti eilių rodinius kas minutę._x000D_
_x000D_
h1. Atliekamos modifikacijos:_x000D_
_x000D_
*&lt;pre&gt;_x000D_
Modifikacijų sprendinio šaltinis: LTG_CRM - #96210 FR3-SPRINT1 System Customizations_x000D_
&lt;/pre&gt;*_x000D_
_x000D_
Galimybės atnaujinti lentelę(sub-grid), kas 'x' laiko intervalais(rekomenduotina nedažniau nei 30sek.) yra, tačiau tai turi savo neigiamą pusę: Jeigu vartotojas praskleis sąrašą žemyn ar pereis į kitą puslapį, po automatinio atnaujinimo sąrašas grįš į pradinę būseną ir vartotojas vėl turės 30s langą peržiūrėti įrašus. Esant didesnėms apimtims tai kritinis trūkumas peržiūrint įrašus. _x000D_
_x000D_
* Atnaujinti 'Queue Items' modulio rodinių langą "x" intervalais (force refresh)_x000D_
&gt; * User modulyje sukuriamas naujas laukas, kuriame galima nusirodyti, kokiu intervalu nori vartotojas, kad atsinaujintų rodinys._x000D_
&gt; * Naujame laukelyje, numatyta tvarka, kliento nurodytiems vartotojams, nustatomas standartinis 60s intervalas._x000D_
&gt; * Sukuriamas papildomas workflow, kuris suveikia, kai sukuriamas naujas 'User' ir tam vartotojui nustato standartinį intervalą į 60s. _x000D_
* Atnaujinti 'Queue' modulio formoje esantį 'Queue Items' sub-grid'ą 60sekundžių intervalais_x000D_
_x000D_
**Nesant galimybei tiesiogiai atnaujinti per 'Queue Items' modulį bus teikiama rekomendacija sukurti naują specializuotą rodinį 'Queue' modulyje, kuris būtų kaip numatytasis, o jį pasirinkus atvaizduotų tik aktyvias eiles. Papildomai būtų sukurta nauja 'Queue' pagrindinė forma, kuria naudotūsi darbuotojai dirbant su eilėmis. Forma būtų orientuota tiesiogiai į eilės įrašus.</t>
        </is>
      </c>
      <c r="R14" t="inlineStr">
        <is>
          <t>2025-09-18</t>
        </is>
      </c>
      <c r="S14" t="inlineStr">
        <is>
          <t>2025-11-07</t>
        </is>
      </c>
      <c r="T14" t="n">
        <v>70</v>
      </c>
      <c r="U14" t="b">
        <v>0</v>
      </c>
      <c r="V14" t="n">
        <v>20</v>
      </c>
      <c r="W14" t="n">
        <v>20</v>
      </c>
      <c r="X14" t="n">
        <v>18</v>
      </c>
      <c r="Y14" t="n">
        <v>18</v>
      </c>
      <c r="Z14" t="inlineStr">
        <is>
          <t>[List]</t>
        </is>
      </c>
      <c r="AA14" t="inlineStr">
        <is>
          <t>2025-09-19T14:18:58Z</t>
        </is>
      </c>
    </row>
    <row r="15">
      <c r="A15" t="n">
        <v>96242</v>
      </c>
      <c r="B15" t="n">
        <v>512</v>
      </c>
      <c r="C15" t="inlineStr">
        <is>
          <t>LG-D365 CRM Project</t>
        </is>
      </c>
      <c r="D15" t="n">
        <v>2</v>
      </c>
      <c r="E15" t="inlineStr">
        <is>
          <t>Feature</t>
        </is>
      </c>
      <c r="F15" t="n">
        <v>9</v>
      </c>
      <c r="G15" t="inlineStr">
        <is>
          <t>Ready for testing</t>
        </is>
      </c>
      <c r="H15" t="b">
        <v>0</v>
      </c>
      <c r="I15" t="n">
        <v>4</v>
      </c>
      <c r="J15" t="inlineStr">
        <is>
          <t>Normal</t>
        </is>
      </c>
      <c r="K15" t="n">
        <v>875</v>
      </c>
      <c r="L15" t="inlineStr">
        <is>
          <t>VilMat</t>
        </is>
      </c>
      <c r="M15" t="n">
        <v>875</v>
      </c>
      <c r="N15" t="inlineStr">
        <is>
          <t>VilMat</t>
        </is>
      </c>
      <c r="O15" t="n">
        <v>96214</v>
      </c>
      <c r="P15" t="inlineStr">
        <is>
          <t>FR3-SPRINT_1-005 - Queue Items &gt;'Convert To Case' mygtuko pridėjimas</t>
        </is>
      </c>
      <c r="Q15" t="inlineStr">
        <is>
          <t xml:space="preserve">h1. Poreikis:_x000D_
_x000D_
Iš benrdo sąrašo eilės negali kurti užklausos neužėjus į vidų._x000D_
Reikia papildomo pasirinkimo užklausai sukurti neužeinant į eilės vidų, tik pažymėjus laišką._x000D_
_x000D_
Eglė klausimas: ar liktų ir galimybė konvertuoti kai laiškas yra atidarytas?_x000D_
GO-ERP komentaras (Versija 3):_x000D_
&gt; Taip, tai būtų tik papildinys, kuris taptų prieinamas iš bendro modulio rodinio per funkcinę juostą._x000D_
_x000D_
h1. Patvirtintas poreikis:_x000D_
_x000D_
* Konvertuoti į užklausą galima neatsidarius laiško, tik pažymėjus._x000D_
* Veikia, kai pažymimas vienas laiškas. Pasiekiamas per funkcinę juosta. Vieta (pridėtas pav.) tarp rodyti diagramą ir redaguoti_x000D_
* Konvertavimas iš atidaryto laiško lieka._x000D_
* Konvertavimo langas toks pats kaip atidarius laišką._x000D_
!clipboard-202509191628-jn9rl.png!_x000D_
_x000D_
h1. Atliekamos modifikacijos:_x000D_
_x000D_
*&lt;pre&gt;_x000D_
Modifikacijų sprendinio šaltinis: LTG_CRM - #96210 FR3-SPRINT1 System Customizations_x000D_
&lt;/pre&gt;*_x000D_
_x000D_
* Pridedamas mygtukas į "Queue Items" modulio rodinių langą tarp mygtukų 'Show Chart' ir 'Edit'_x000D_
&gt; Mygtukas matomas tik tada kai pasirenkamas '1' įrašas_x000D_
&gt; Nepasirinkus nė vieno įrašo - nerodomas_x000D_
&gt; Pasirinkus daugiau nei vieną įrašą - mygtukas paslepiamas_x000D_
</t>
        </is>
      </c>
      <c r="R15" t="inlineStr">
        <is>
          <t>2025-10-24</t>
        </is>
      </c>
      <c r="S15" t="inlineStr">
        <is>
          <t>2025-11-07</t>
        </is>
      </c>
      <c r="T15" t="n">
        <v>20</v>
      </c>
      <c r="U15" t="b">
        <v>0</v>
      </c>
      <c r="V15" t="n">
        <v>3</v>
      </c>
      <c r="W15" t="n">
        <v>3</v>
      </c>
      <c r="X15" t="n">
        <v>5</v>
      </c>
      <c r="Y15" t="n">
        <v>5</v>
      </c>
      <c r="Z15" t="inlineStr">
        <is>
          <t>[List]</t>
        </is>
      </c>
      <c r="AA15" t="inlineStr">
        <is>
          <t>2025-09-19T13:44:12Z</t>
        </is>
      </c>
    </row>
    <row r="16">
      <c r="A16" t="n">
        <v>96239</v>
      </c>
      <c r="B16" t="n">
        <v>512</v>
      </c>
      <c r="C16" t="inlineStr">
        <is>
          <t>LG-D365 CRM Project</t>
        </is>
      </c>
      <c r="D16" t="n">
        <v>2</v>
      </c>
      <c r="E16" t="inlineStr">
        <is>
          <t>Feature</t>
        </is>
      </c>
      <c r="F16" t="n">
        <v>9</v>
      </c>
      <c r="G16" t="inlineStr">
        <is>
          <t>Ready for testing</t>
        </is>
      </c>
      <c r="H16" t="b">
        <v>0</v>
      </c>
      <c r="I16" t="n">
        <v>4</v>
      </c>
      <c r="J16" t="inlineStr">
        <is>
          <t>Normal</t>
        </is>
      </c>
      <c r="K16" t="n">
        <v>875</v>
      </c>
      <c r="L16" t="inlineStr">
        <is>
          <t>VilMat</t>
        </is>
      </c>
      <c r="M16" t="n">
        <v>875</v>
      </c>
      <c r="N16" t="inlineStr">
        <is>
          <t>VilMat</t>
        </is>
      </c>
      <c r="O16" t="n">
        <v>96237</v>
      </c>
      <c r="P16" t="inlineStr">
        <is>
          <t>FR3-SPRINT_1-004 - Accounts &gt; Atsakingų asmenų pasirinkimų praplėtimas</t>
        </is>
      </c>
      <c r="Q16" t="inlineStr">
        <is>
          <t xml:space="preserve">h1. Poreikis:_x000D_
_x000D_
Prie kliento kortelės įtraukti papildomą  atsakingą sritį: Turi būti Pardavimai, Aptarnavimas, Užsakymai, Sutartys, Atsiskaitymai. _x000D_
Pervadinti: Atsakingas asmuo/komanda į Pardavimai_x000D_
Kuriamas naujas pavadinimu Aptarnavimas_x000D_
Užsakymų vadybininkas keičiamas į Užsakymai_x000D_
Papildomų paslaugų sutarčių vadybininkas keičiamas į  Sutartys_x000D_
Atsiskaitymų vadybininkas keičiamas į  Atsiskaitymai_x000D_
_x000D_
Rodinyje Mano aktyvieji klientai analogiškai pritaikyti naujų laukų reikšmes kaip paveikslėlyje. Filtras turėtų atvaizduoti bet kuriame iš naujų laukų esančio vartotojo klientus._x000D_
_x000D_
h1. Patvirtintas poreikis:_x000D_
_x000D_
Prie kliento kortelės įtraukti papildomą  atsakingą sritį: Aptarnavimas_x000D_
Eiliškumas ir pavadinimai:_x000D_
Pardavimai_x000D_
Aptarnavimas _x000D_
Užsakymai_x000D_
Sutartys_x000D_
Atsiskaitymai. _x000D_
Rodinyje Mano aktyvieji klientai analogiškai pritaikyti naujų laukų reikšmes kaip paveikslėlyje. Filtras turėtų atvaizduoti bet kuriame iš naujų laukų esančio vartotojo klientus._x000D_
Rodinyje galimybė įsitraukti numatytus stulpelius_x000D_
!clipboard-202509191601-4dhzx.png!_x000D_
!clipboard-202509191607-9zpe1.png!_x000D_
_x000D_
h1. Atliekamos modifikacijos:_x000D_
_x000D_
*&lt;pre&gt;_x000D_
Modifikacijų sprendinio šaltinis: LTG_CRM - #96210 FR3-SPRINT1 System Customizations_x000D_
&lt;/pre&gt;*_x000D_
_x000D_
* Account modulyje sukuriamas naujas lookup tipo laukelis 'Customer Service'(LT.'Aptarnavimas')_x000D_
&gt;&gt; Laukas žvelgia į vartotojų modulį._x000D_
&gt;&gt; Laukas patalpinamas į Account pagrindinėje formoje esančią greitosios informacijos zoną._x000D_
* 'My Active Accounts'(mano aktyvieji klientai) sisteminiame rodinyje pritaikomi specialieji filtrai:_x000D_
&gt;&gt; Filtruoti pagal esamą vartotoją(pagal tą kuris peržiūri) nurodyta eilės tvarka šiuos laukelius:_x000D_
&gt;&gt; Pardavimai_x000D_
&gt;&gt; Aptarnavimas _x000D_
&gt;&gt; Užsakymai_x000D_
&gt;&gt; Sutartys_x000D_
&gt;&gt; Atsiskaitymai_x000D_
&gt;&gt; Rezultatas: Filtras turėtų atvaizduoti bet kuriame iš naujų laukų esančio vartotojo klientus._x000D_
_x000D_
*Apribojimai:*_x000D_
* Pridėjus į viršutinę greitosios informacijos pateikimo juostą - nesimatys, kol nebus praskleista su dešinėje esančia rodykle. Sistemos lubos riboja atvaizduoti iki 4-ių pateikčių. _x000D_
* Eglės Klausimas - kas šioje dalyje matysis, ar pirmi keturi ir norint matyti daugiau reikės praskleisti, ar kitas vaizdas?_x000D_
&gt;&gt; GO-ERP komentaras (Versija 3):_x000D_
&gt;&gt; Formoje, nepraskleidus pasirinkimo, būtų matomi pirmi 4 laukeliai._x000D_
&gt;&gt; Norint pamatyti daugiau, būtų reikalinga praskleisti panaudojant minėtą rodyklę._x000D_
_x000D_
</t>
        </is>
      </c>
      <c r="R16" t="inlineStr">
        <is>
          <t>2025-09-18</t>
        </is>
      </c>
      <c r="S16" t="inlineStr">
        <is>
          <t>2025-11-07</t>
        </is>
      </c>
      <c r="T16" t="n">
        <v>50</v>
      </c>
      <c r="U16" t="b">
        <v>0</v>
      </c>
      <c r="V16" t="n">
        <v>5</v>
      </c>
      <c r="W16" t="n">
        <v>5</v>
      </c>
      <c r="X16" t="n">
        <v>3</v>
      </c>
      <c r="Y16" t="n">
        <v>3</v>
      </c>
      <c r="Z16" t="inlineStr">
        <is>
          <t>[List]</t>
        </is>
      </c>
      <c r="AA16" t="inlineStr">
        <is>
          <t>2025-09-19T13:19:09Z</t>
        </is>
      </c>
    </row>
    <row r="17">
      <c r="A17" t="n">
        <v>96237</v>
      </c>
      <c r="B17" t="n">
        <v>512</v>
      </c>
      <c r="C17" t="inlineStr">
        <is>
          <t>LG-D365 CRM Project</t>
        </is>
      </c>
      <c r="D17" t="n">
        <v>2</v>
      </c>
      <c r="E17" t="inlineStr">
        <is>
          <t>Feature</t>
        </is>
      </c>
      <c r="F17" t="n">
        <v>2</v>
      </c>
      <c r="G17" t="inlineStr">
        <is>
          <t>In Progress</t>
        </is>
      </c>
      <c r="H17" t="b">
        <v>0</v>
      </c>
      <c r="I17" t="n">
        <v>4</v>
      </c>
      <c r="J17" t="inlineStr">
        <is>
          <t>Normal</t>
        </is>
      </c>
      <c r="K17" t="n">
        <v>875</v>
      </c>
      <c r="L17" t="inlineStr">
        <is>
          <t>VilMat</t>
        </is>
      </c>
      <c r="M17" t="n">
        <v>875</v>
      </c>
      <c r="N17" t="inlineStr">
        <is>
          <t>VilMat</t>
        </is>
      </c>
      <c r="O17" t="n">
        <v>96210</v>
      </c>
      <c r="P17" t="inlineStr">
        <is>
          <t>FR3-SPRINT_1-000 - Accounts (Klientai)</t>
        </is>
      </c>
      <c r="Q17" t="inlineStr">
        <is>
          <t>*Modulio apimtyje atliekami su klientu pasitvirtinti pirmo prioriteto darbai*_x000D_
_x000D_
&lt;pre&gt;_x000D_
Darbai atliekami sprendinyje pavadinimu: LTG_CRM - #96210 FR3-SPRINT1 System Customizations_x000D_
&lt;/pre&gt;</t>
        </is>
      </c>
      <c r="R17" t="inlineStr">
        <is>
          <t>2025-09-18</t>
        </is>
      </c>
      <c r="S17" t="inlineStr">
        <is>
          <t>2025-11-07</t>
        </is>
      </c>
      <c r="T17" t="n">
        <v>50</v>
      </c>
      <c r="U17" t="b">
        <v>0</v>
      </c>
      <c r="W17" t="n">
        <v>5</v>
      </c>
      <c r="X17" t="n">
        <v>0</v>
      </c>
      <c r="Y17" t="n">
        <v>3</v>
      </c>
      <c r="Z17" t="inlineStr">
        <is>
          <t>[List]</t>
        </is>
      </c>
      <c r="AA17" t="inlineStr">
        <is>
          <t>2025-09-19T12:57:00Z</t>
        </is>
      </c>
    </row>
    <row r="18">
      <c r="A18" t="n">
        <v>96235</v>
      </c>
      <c r="B18" t="n">
        <v>512</v>
      </c>
      <c r="C18" t="inlineStr">
        <is>
          <t>LG-D365 CRM Project</t>
        </is>
      </c>
      <c r="D18" t="n">
        <v>2</v>
      </c>
      <c r="E18" t="inlineStr">
        <is>
          <t>Feature</t>
        </is>
      </c>
      <c r="F18" t="n">
        <v>9</v>
      </c>
      <c r="G18" t="inlineStr">
        <is>
          <t>Ready for testing</t>
        </is>
      </c>
      <c r="H18" t="b">
        <v>0</v>
      </c>
      <c r="I18" t="n">
        <v>4</v>
      </c>
      <c r="J18" t="inlineStr">
        <is>
          <t>Normal</t>
        </is>
      </c>
      <c r="K18" t="n">
        <v>875</v>
      </c>
      <c r="L18" t="inlineStr">
        <is>
          <t>VilMat</t>
        </is>
      </c>
      <c r="M18" t="n">
        <v>875</v>
      </c>
      <c r="N18" t="inlineStr">
        <is>
          <t>VilMat</t>
        </is>
      </c>
      <c r="O18" t="n">
        <v>96213</v>
      </c>
      <c r="P18" t="inlineStr">
        <is>
          <t>FR3-SPRINT_1-003 - Case &gt; Timeline &gt; Notes: Padidinti 'Description' simbolių skaičių iki maksimumo</t>
        </is>
      </c>
      <c r="Q18" t="inlineStr">
        <is>
          <t xml:space="preserve">h1. Poreikis:_x000D_
_x000D_
Laiko juostoje esančioje pastabų dalyje padidinti Aprašymo lauką iki maksimalaus leistinų simbolių kiekio_x000D_
_x000D_
h1. Patvirtintas poreikis:_x000D_
_x000D_
Nustatytati Laiko juostoje esančioje pasatabų dalyje padidinti Aprašymo lauką padidinti iki maksimalaus leistinų simobilių kiekio_x000D_
_x000D_
h1. Atliekamos modifikacijos:_x000D_
_x000D_
*&lt;pre&gt;_x000D_
Modifikacijų sprendinio šaltinis: LTG_CRM - #96210 FR3-SPRINT1 System Customizations_x000D_
&lt;/pre&gt;*_x000D_
_x000D_
Notes(Pastabų) įrašai:_x000D_
* Subject(Temos) laukelis: Draudžiami padidinti. Nustatytas maksimalus leistinas simbolių kiekis - 500_x000D_
* Description(Aprašymo) laukelis: Nustatomas maksimalus leistinas simbolių kiekis - 1073741823; Šiuo metu nustatytas: 100000_x000D_
</t>
        </is>
      </c>
      <c r="R18" t="inlineStr">
        <is>
          <t>2025-09-18</t>
        </is>
      </c>
      <c r="S18" t="inlineStr">
        <is>
          <t>2025-11-07</t>
        </is>
      </c>
      <c r="T18" t="n">
        <v>30</v>
      </c>
      <c r="U18" t="b">
        <v>0</v>
      </c>
      <c r="V18" t="n">
        <v>1</v>
      </c>
      <c r="W18" t="n">
        <v>1</v>
      </c>
      <c r="X18" t="n">
        <v>1.5</v>
      </c>
      <c r="Y18" t="n">
        <v>1.5</v>
      </c>
      <c r="Z18" t="inlineStr">
        <is>
          <t>[List]</t>
        </is>
      </c>
      <c r="AA18" t="inlineStr">
        <is>
          <t>2025-09-19T12:52:12Z</t>
        </is>
      </c>
    </row>
    <row r="19">
      <c r="A19" t="n">
        <v>96220</v>
      </c>
      <c r="B19" t="n">
        <v>512</v>
      </c>
      <c r="C19" t="inlineStr">
        <is>
          <t>LG-D365 CRM Project</t>
        </is>
      </c>
      <c r="D19" t="n">
        <v>2</v>
      </c>
      <c r="E19" t="inlineStr">
        <is>
          <t>Feature</t>
        </is>
      </c>
      <c r="F19" t="n">
        <v>9</v>
      </c>
      <c r="G19" t="inlineStr">
        <is>
          <t>Ready for testing</t>
        </is>
      </c>
      <c r="H19" t="b">
        <v>0</v>
      </c>
      <c r="I19" t="n">
        <v>4</v>
      </c>
      <c r="J19" t="inlineStr">
        <is>
          <t>Normal</t>
        </is>
      </c>
      <c r="K19" t="n">
        <v>875</v>
      </c>
      <c r="L19" t="inlineStr">
        <is>
          <t>VilMat</t>
        </is>
      </c>
      <c r="M19" t="n">
        <v>875</v>
      </c>
      <c r="N19" t="inlineStr">
        <is>
          <t>VilMat</t>
        </is>
      </c>
      <c r="O19" t="n">
        <v>96215</v>
      </c>
      <c r="P19" t="inlineStr">
        <is>
          <t>FR3-SPRINT_1-002 - Automatiškai uždedamo el.pašto adreso į juodraštinį el.laišką modifikacija</t>
        </is>
      </c>
      <c r="Q19" t="inlineStr">
        <is>
          <t xml:space="preserve">h1. Poreikis:_x000D_
_x000D_
Kiekvieną kartą rašant atsakant į laišką reikia rankiniu būdu pakeisti iš asmeninės į bendrinę pašto dėžutę. Padaryti, kad nuskaitytų kokiai komandai priklauso ir taikytų komandos (veikos) el. paštą_x000D_
_x000D_
h1. Patvirtintas poreikis:_x000D_
_x000D_
Redaguotų automatinis el. pašto parinkimas laiško išsiuntimui nuo vartotojo._x000D_
Darome dviejų pasiūlytų variantų hibridą - pašto dėžutės pavadinimas nurodomas vartotojo kortelėje. Kada spaudžiama reply, vartotojui suveikia OnLoad funkcija ir uždedama nurodyta pašto dėžutė į laiško lauką 'From'._x000D_
Vartotojui netinkant savarankiškai pasikeičia. _x000D_
Galimybė rankiniu būdu pakeisti kitą el. paštą._x000D_
_x000D_
h1. Pateikti pavyzdiniai scenarijai iš kliento pusės su GO-ERP komentarais:_x000D_
_x000D_
Ar veiktų šis sprendimas tokiais scenarijais:_x000D_
Esama situacija: yra BAK komanda, kuri dirba su BAK eile, turi savo pasta pagalba@ltgcargolt; yra komanda VR, kuri dirba su VR eile, turi savo paštą vagonai@ltgcargo.lt_x000D_
* 1 scenarijus:_x000D_
&gt; Kliento laiškas, adresatai nurodoma pagalba@ltgcargo.lt. Laiškas įkrenta į BAK eilę, BAK komandos narys konvertuoja į užklausą. Iš užklausos rašomas laiškas, užsideda paštas from pagalba@ltgcargo_x000D_
&gt; *GO-ERP komentaras (Versija 3):*_x000D_
&gt; Galimas scenarijus. Funkcija ieškotų, prie kokios eilės priskirtas el.laiškas, kai pats el.laiškas atsakomas iš naujos užklausos._x000D_
* 2 scenarijus:_x000D_
&gt; Kliento laiškas, adresatai nurodoma pagalba@ltgcargo ir vadonai@ltgcargo.lt. Laiškas įkrenta ir į BAK ir į VR eiles. Pagal laiško turinį BAK komandos narys konvertuoja į užklausą. Iš užklausos rašomas laiškas, užsideda paštas from pagalba@ltgcargo. VR eilėje įrašas panaikinamas._x000D_
&gt; *GO-ERP komentaras (Versija 3):*_x000D_
&gt; Labiau galimas scenarijus. Tikėtina, kad būtų reikiamybė fone(vartotojams nematomai) fiksuoti laiško įrašo naujame laukelyje iš kokios eilės buvo konvertuotas laiškas. Pagal tai sistemos funkcija žinotų, kurios eilės pagrindu uždėti el.pašto adresą į From laukelį._x000D_
* 3 scenarijus:_x000D_
&gt; Kliento laiškas, adresatai nurodoma pagalba@ltgcargo.lt. Laiškas įkrenta į BAK eilę, BAK komandos narys indentifikuoja, kad tai ne jų klausimas ir laišką perskiria į VR eilę. VR komandos narys konvertuoja į užklausą. Iš užklausos rašomas laiškas, užsideda paštas from vagonai@ltgcargo_x000D_
&gt; *GO-ERP komentaras (Versija 3):*_x000D_
&gt; Labiau galimas scenarijus. Pasitarnautų funkcinis įgyvendinimas kaip aprašyta 2 scenarijuje - susikuriant dedikuotą lauką su užstatoma paskutine eile, iš kurios buvo konvertuotas laiškas į užklausą.  _x000D_
_x000D_
h1. Atliekamos modifikacijos:_x000D_
_x000D_
*&lt;pre&gt;_x000D_
Modifikacijų sprendinio šaltinis: LTG_CRM - #96210 FR3-SPRINT1 System Customizations_x000D_
&lt;/pre&gt;*_x000D_
_x000D_
* Atliekamas programavimas ir veiksmų seka, kurios pagrindu laiško siuntėjas nustatomas ir įdedamas į formuojamą juodraštinį laišką._x000D_
&gt; Kodo pagalba sukuriama 'OnLoad' operaciją, kuri iškart, atvėrus juodraščio statuso(status eq draft) įrašą, užkeičia 'From' laukelį el. pašto adresu paimtu iš 'Users' modulyje sukurto naujo laukelio 'Email Replies Mailbox'(goerp_emailrepliesmailbox)_x000D_
&gt; Jeigu 'yes/no' laukelis 'Enable All Email Replies from Other Mailbox?' pažymėtas kaip 'No', tuomet ignoruoti el.pašto adreso paėmimą ir nedaryti nieko;_x000D_
&gt; Jeigu vartotojas ištrina Email įraše įdėtą 'From' adresą, kodas nedaro nieko;_x000D_
* Sukuriamas naujas 'Yes/No' tipo laukelis 'Users'(vartotojų) modulyje pavadinimu 'Enable All Email Replies from Other Mailbox?' (LT."Įgalinti visus el.laiškų atsakymus kitos pašto dėžutės pagrindu?")_x000D_
&gt; Sukurtas laukelis patalpinamas į 'Users' modulio pagrindinę formą (Main form) kaip trigger/checkbox (jungtukas/varnelė)_x000D_
* Sukuriamas naujas laukelis 'Users'(vartotojų) modulyje pavadinimu 'Email Replies Mailbox (LT."Laiškų atsakymų el.paštas") skirtas įrašyti el.pašto adresą(bendrinės pašto dėžutės), kuris būtų panaudojamas atsakinėjant į eilės laiškus._x000D_
&gt; Sukurtas laukelis patalpinamas į 'Users' modulio pagrindinę formą (Main form)_x000D_
* Sukuriamas 'Business Rule'(verslo taisyklė) atvaizduoti 'Email Replies Mailbox' laukelį tik tuomet, kai 'Enable All Email Replies from Other Mailbox?' yra pažymėtas, kaip 'Yes'_x000D_
_x000D_
Rezultatas:_x000D_
Kai vartotojas paspaudžia 'reply' laiške ir sistema užkrauna naują el.laiško atsakymo įrašą, kodas su OnLoad operacija uždeda vartotojo kortelėje, naujame laukelyje, nurodytą el.paštą į 'From' lauką. _x000D_
Jeigu vartotojui netinka įdėtas el.pašto adresas - savarankiškai pasikeičia ištrindamas įdėtą ir pasirinkdamas arba įrašydamas naują._x000D_
</t>
        </is>
      </c>
      <c r="R19" t="inlineStr">
        <is>
          <t>2025-09-18</t>
        </is>
      </c>
      <c r="S19" t="inlineStr">
        <is>
          <t>2025-11-07</t>
        </is>
      </c>
      <c r="T19" t="n">
        <v>40</v>
      </c>
      <c r="U19" t="b">
        <v>0</v>
      </c>
      <c r="V19" t="n">
        <v>11</v>
      </c>
      <c r="W19" t="n">
        <v>11</v>
      </c>
      <c r="X19" t="n">
        <v>11.75</v>
      </c>
      <c r="Y19" t="n">
        <v>11.75</v>
      </c>
      <c r="Z19" t="inlineStr">
        <is>
          <t>[List]</t>
        </is>
      </c>
      <c r="AA19" t="inlineStr">
        <is>
          <t>2025-09-19T10:31:00Z</t>
        </is>
      </c>
    </row>
    <row r="20">
      <c r="A20" t="n">
        <v>96218</v>
      </c>
      <c r="B20" t="n">
        <v>512</v>
      </c>
      <c r="C20" t="inlineStr">
        <is>
          <t>LG-D365 CRM Project</t>
        </is>
      </c>
      <c r="D20" t="n">
        <v>2</v>
      </c>
      <c r="E20" t="inlineStr">
        <is>
          <t>Feature</t>
        </is>
      </c>
      <c r="F20" t="n">
        <v>9</v>
      </c>
      <c r="G20" t="inlineStr">
        <is>
          <t>Ready for testing</t>
        </is>
      </c>
      <c r="H20" t="b">
        <v>0</v>
      </c>
      <c r="I20" t="n">
        <v>4</v>
      </c>
      <c r="J20" t="inlineStr">
        <is>
          <t>Normal</t>
        </is>
      </c>
      <c r="K20" t="n">
        <v>875</v>
      </c>
      <c r="L20" t="inlineStr">
        <is>
          <t>VilMat</t>
        </is>
      </c>
      <c r="M20" t="n">
        <v>875</v>
      </c>
      <c r="N20" t="inlineStr">
        <is>
          <t>VilMat</t>
        </is>
      </c>
      <c r="O20" t="n">
        <v>96216</v>
      </c>
      <c r="P20" t="inlineStr">
        <is>
          <t xml:space="preserve">FR3-SPRINT_1-001 - Risk Assessment/Account modulio modifikacijos </t>
        </is>
      </c>
      <c r="Q20" t="inlineStr">
        <is>
          <t xml:space="preserve">h1. Poreikis:_x000D_
_x000D_
Kliento kortelėje atsiranda laukas, kur galima kopijuoti nuorodą. _x000D_
Įtraukti į tikrinimo retrospektyvą._x000D_
Kad būtų galimybė įtraukti į rodinius stulpelį_x000D_
_x000D_
h1. Patvirtintas poreikis:_x000D_
_x000D_
Klientų prevencijos informaciją fiksuoti į tikrinimo retrospektyvą. Kliento prevencijos įraše._x000D_
Galimybė Kliento objekte įsitraukti į rodinio stulpelį Dokumentas DVS laukelį_x000D_
_x000D_
Padaryti įrašą (risk assesment) kaip neaktyvų, kaip pabaigos data yra senesnė negu šiandien. _x000D_
Įtraukti papildomą laukelį į rodinį Kliento kortelėje &gt; Skirtukas dokumentai &gt; Kliento prevencijos informacija sekcija &gt; Įrašo statusas / būklė _x000D_
Rodyti aktyvius/neaktyvius (kaip Marketingo sekcija)_x000D_
_x000D_
h1. Atliekamos modifikacijos:_x000D_
_x000D_
*&lt;pre&gt;_x000D_
Modifikacijų sprendinio šaltinis: LTG_CRM - #96210 FR3-SPRINT1 System Customizations_x000D_
&lt;/pre&gt;*_x000D_
_x000D_
Risk Assessment:_x000D_
* Aktyvuojamas 'Audit History' moduliui 'Risk Assessment';_x000D_
* Įrašo 'Risk Assessment' deaktyvavimas, kai nustatyta 'pabaigos data' tampa senesnė nei šiandienos data. Atliekamas power automate flow/workflow proceso kūrimas:_x000D_
&gt; Sukuriamas power automate flow/workflow_x000D_
&gt; Flow/Workflow tikrina visus aktyvius 'Risk Assessment' įrašus_x000D_
&gt; Flow/Workflow auto-kartojasi(recurrent) kiekvieną naktį 3:33 laiku_x000D_
&gt; Jeigu įraše nurodyta laukelio 'Valid to' data yra senesnė nei šiandienos data, pakeisti įrašo statusą į:_x000D_
&gt;&gt; Status (statecode) eq 1_x000D_
&gt;&gt; Status Reason (statuscode) eq 2_x000D_
Account:_x000D_
* Įtraukiamas papildomas stulpelis į 'Account' įraše esantį 'Risk Assessment' 'sub-grid':_x000D_
&gt; Įtraukiamas laukelis: Status (Įrašo statusas/būklė);_x000D_
* Atliekamos korekcijas atvaizduojamai 'Risk Assessment' sub-lentelei:_x000D_
&gt; Įgalinama galimybė rinktis, kurį rodinį, iš galimų pasirinkimų, atvaizduoti sub-lentelėje - view multi-choice_x000D_
</t>
        </is>
      </c>
      <c r="R20" t="inlineStr">
        <is>
          <t>2025-09-18</t>
        </is>
      </c>
      <c r="S20" t="inlineStr">
        <is>
          <t>2025-11-07</t>
        </is>
      </c>
      <c r="T20" t="n">
        <v>40</v>
      </c>
      <c r="U20" t="b">
        <v>0</v>
      </c>
      <c r="V20" t="n">
        <v>3.5</v>
      </c>
      <c r="W20" t="n">
        <v>3.5</v>
      </c>
      <c r="X20" t="n">
        <v>3.25</v>
      </c>
      <c r="Y20" t="n">
        <v>3.25</v>
      </c>
      <c r="Z20" t="inlineStr">
        <is>
          <t>[List]</t>
        </is>
      </c>
      <c r="AA20" t="inlineStr">
        <is>
          <t>2025-09-19T10:08:40Z</t>
        </is>
      </c>
    </row>
    <row r="21">
      <c r="A21" t="n">
        <v>96216</v>
      </c>
      <c r="B21" t="n">
        <v>512</v>
      </c>
      <c r="C21" t="inlineStr">
        <is>
          <t>LG-D365 CRM Project</t>
        </is>
      </c>
      <c r="D21" t="n">
        <v>2</v>
      </c>
      <c r="E21" t="inlineStr">
        <is>
          <t>Feature</t>
        </is>
      </c>
      <c r="F21" t="n">
        <v>2</v>
      </c>
      <c r="G21" t="inlineStr">
        <is>
          <t>In Progress</t>
        </is>
      </c>
      <c r="H21" t="b">
        <v>0</v>
      </c>
      <c r="I21" t="n">
        <v>4</v>
      </c>
      <c r="J21" t="inlineStr">
        <is>
          <t>Normal</t>
        </is>
      </c>
      <c r="K21" t="n">
        <v>875</v>
      </c>
      <c r="L21" t="inlineStr">
        <is>
          <t>VilMat</t>
        </is>
      </c>
      <c r="M21" t="n">
        <v>875</v>
      </c>
      <c r="N21" t="inlineStr">
        <is>
          <t>VilMat</t>
        </is>
      </c>
      <c r="O21" t="n">
        <v>96210</v>
      </c>
      <c r="P21" t="inlineStr">
        <is>
          <t>FR3-SPRINT_1-000 - Risk Assesments (Klientų prevencijos)</t>
        </is>
      </c>
      <c r="Q21" t="inlineStr">
        <is>
          <t>*Modulio apimtyje atliekami su klientu pasitvirtinti pirmo prioriteto darbai*_x000D_
&lt;pre&gt;_x000D_
Darbai atliekami sprendinyje pavadinimu: LTG_CRM - #96210 FR3-SPRINT1 System Customizations_x000D_
&lt;/pre&gt;</t>
        </is>
      </c>
      <c r="R21" t="inlineStr">
        <is>
          <t>2025-09-15</t>
        </is>
      </c>
      <c r="S21" t="inlineStr">
        <is>
          <t>2025-11-07</t>
        </is>
      </c>
      <c r="T21" t="n">
        <v>40</v>
      </c>
      <c r="U21" t="b">
        <v>0</v>
      </c>
      <c r="W21" t="n">
        <v>3.5</v>
      </c>
      <c r="X21" t="n">
        <v>0</v>
      </c>
      <c r="Y21" t="n">
        <v>3.25</v>
      </c>
      <c r="Z21" t="inlineStr">
        <is>
          <t>[List]</t>
        </is>
      </c>
      <c r="AA21" t="inlineStr">
        <is>
          <t>2025-09-19T09:48:38Z</t>
        </is>
      </c>
    </row>
    <row r="22">
      <c r="A22" t="n">
        <v>96215</v>
      </c>
      <c r="B22" t="n">
        <v>512</v>
      </c>
      <c r="C22" t="inlineStr">
        <is>
          <t>LG-D365 CRM Project</t>
        </is>
      </c>
      <c r="D22" t="n">
        <v>2</v>
      </c>
      <c r="E22" t="inlineStr">
        <is>
          <t>Feature</t>
        </is>
      </c>
      <c r="F22" t="n">
        <v>2</v>
      </c>
      <c r="G22" t="inlineStr">
        <is>
          <t>In Progress</t>
        </is>
      </c>
      <c r="H22" t="b">
        <v>0</v>
      </c>
      <c r="I22" t="n">
        <v>4</v>
      </c>
      <c r="J22" t="inlineStr">
        <is>
          <t>Normal</t>
        </is>
      </c>
      <c r="K22" t="n">
        <v>875</v>
      </c>
      <c r="L22" t="inlineStr">
        <is>
          <t>VilMat</t>
        </is>
      </c>
      <c r="M22" t="n">
        <v>875</v>
      </c>
      <c r="N22" t="inlineStr">
        <is>
          <t>VilMat</t>
        </is>
      </c>
      <c r="O22" t="n">
        <v>96210</v>
      </c>
      <c r="P22" t="inlineStr">
        <is>
          <t>FR3-SPRINT_1-000 - Email Messages (El.laiškai)</t>
        </is>
      </c>
      <c r="Q22" t="inlineStr">
        <is>
          <t xml:space="preserve">*Modulio apimtyje atliekami su klientu pasitvirtinti pirmo prioriteto darbai*_x000D_
&lt;pre&gt;_x000D_
Darbai atliekami sprendinyje pavadinimu: LTG_CRM - #96210 FR3-SPRINT1 System Customizations_x000D_
&lt;/pre&gt;_x000D_
</t>
        </is>
      </c>
      <c r="R22" t="inlineStr">
        <is>
          <t>2025-09-15</t>
        </is>
      </c>
      <c r="S22" t="inlineStr">
        <is>
          <t>2025-11-07</t>
        </is>
      </c>
      <c r="T22" t="n">
        <v>45</v>
      </c>
      <c r="U22" t="b">
        <v>0</v>
      </c>
      <c r="W22" t="n">
        <v>24</v>
      </c>
      <c r="X22" t="n">
        <v>0</v>
      </c>
      <c r="Y22" t="n">
        <v>25.25</v>
      </c>
      <c r="Z22" t="inlineStr">
        <is>
          <t>[List]</t>
        </is>
      </c>
      <c r="AA22" t="inlineStr">
        <is>
          <t>2025-09-19T09:46:30Z</t>
        </is>
      </c>
    </row>
    <row r="23">
      <c r="A23" t="n">
        <v>96214</v>
      </c>
      <c r="B23" t="n">
        <v>512</v>
      </c>
      <c r="C23" t="inlineStr">
        <is>
          <t>LG-D365 CRM Project</t>
        </is>
      </c>
      <c r="D23" t="n">
        <v>2</v>
      </c>
      <c r="E23" t="inlineStr">
        <is>
          <t>Feature</t>
        </is>
      </c>
      <c r="F23" t="n">
        <v>2</v>
      </c>
      <c r="G23" t="inlineStr">
        <is>
          <t>In Progress</t>
        </is>
      </c>
      <c r="H23" t="b">
        <v>0</v>
      </c>
      <c r="I23" t="n">
        <v>4</v>
      </c>
      <c r="J23" t="inlineStr">
        <is>
          <t>Normal</t>
        </is>
      </c>
      <c r="K23" t="n">
        <v>875</v>
      </c>
      <c r="L23" t="inlineStr">
        <is>
          <t>VilMat</t>
        </is>
      </c>
      <c r="M23" t="n">
        <v>875</v>
      </c>
      <c r="N23" t="inlineStr">
        <is>
          <t>VilMat</t>
        </is>
      </c>
      <c r="O23" t="n">
        <v>96210</v>
      </c>
      <c r="P23" t="inlineStr">
        <is>
          <t>FR3-SPRINT_1-000 - Queue/Queue Items (Eilės/eilių įrašai)</t>
        </is>
      </c>
      <c r="Q23" t="inlineStr">
        <is>
          <t>*Modulio apimtyje atliekami su klientu pasitvirtinti pirmo prioriteto darbai*_x000D_
_x000D_
&lt;pre&gt;_x000D_
Darbai atliekami sprendinyje pavadinimu: LTG_CRM - #96210 FR3-SPRINT1 System Customizations_x000D_
&lt;/pre&gt;</t>
        </is>
      </c>
      <c r="R23" t="inlineStr">
        <is>
          <t>2025-09-15</t>
        </is>
      </c>
      <c r="S23" t="inlineStr">
        <is>
          <t>2025-11-07</t>
        </is>
      </c>
      <c r="T23" t="n">
        <v>27</v>
      </c>
      <c r="U23" t="b">
        <v>0</v>
      </c>
      <c r="W23" t="n">
        <v>82</v>
      </c>
      <c r="X23" t="n">
        <v>0</v>
      </c>
      <c r="Y23" t="n">
        <v>49.5</v>
      </c>
      <c r="Z23" t="inlineStr">
        <is>
          <t>[List]</t>
        </is>
      </c>
      <c r="AA23" t="inlineStr">
        <is>
          <t>2025-09-19T09:45:11Z</t>
        </is>
      </c>
    </row>
    <row r="24">
      <c r="A24" t="n">
        <v>96213</v>
      </c>
      <c r="B24" t="n">
        <v>512</v>
      </c>
      <c r="C24" t="inlineStr">
        <is>
          <t>LG-D365 CRM Project</t>
        </is>
      </c>
      <c r="D24" t="n">
        <v>2</v>
      </c>
      <c r="E24" t="inlineStr">
        <is>
          <t>Feature</t>
        </is>
      </c>
      <c r="F24" t="n">
        <v>2</v>
      </c>
      <c r="G24" t="inlineStr">
        <is>
          <t>In Progress</t>
        </is>
      </c>
      <c r="H24" t="b">
        <v>0</v>
      </c>
      <c r="I24" t="n">
        <v>4</v>
      </c>
      <c r="J24" t="inlineStr">
        <is>
          <t>Normal</t>
        </is>
      </c>
      <c r="K24" t="n">
        <v>875</v>
      </c>
      <c r="L24" t="inlineStr">
        <is>
          <t>VilMat</t>
        </is>
      </c>
      <c r="M24" t="n">
        <v>875</v>
      </c>
      <c r="N24" t="inlineStr">
        <is>
          <t>VilMat</t>
        </is>
      </c>
      <c r="O24" t="n">
        <v>96210</v>
      </c>
      <c r="P24" t="inlineStr">
        <is>
          <t>FR3-SPRINT_1-000 - Cases (Užklausos)</t>
        </is>
      </c>
      <c r="Q24" t="inlineStr">
        <is>
          <t>*Modulio apimtyje atliekami su klientu pasitvirtinti pirmo prioriteto darbai*_x000D_
_x000D_
&lt;pre&gt;_x000D_
Darbai atliekami sprendinyje pavadinimu: LTG_CRM - #96210 FR3-SPRINT1 System Customizations_x000D_
&lt;/pre&gt;</t>
        </is>
      </c>
      <c r="R24" t="inlineStr">
        <is>
          <t>2025-09-15</t>
        </is>
      </c>
      <c r="S24" t="inlineStr">
        <is>
          <t>2025-11-07</t>
        </is>
      </c>
      <c r="T24" t="n">
        <v>15</v>
      </c>
      <c r="U24" t="b">
        <v>0</v>
      </c>
      <c r="W24" t="n">
        <v>39.5</v>
      </c>
      <c r="X24" t="n">
        <v>0</v>
      </c>
      <c r="Y24" t="n">
        <v>19.5</v>
      </c>
      <c r="Z24" t="inlineStr">
        <is>
          <t>[List]</t>
        </is>
      </c>
      <c r="AA24" t="inlineStr">
        <is>
          <t>2025-09-19T09:42:40Z</t>
        </is>
      </c>
    </row>
    <row r="25">
      <c r="A25" t="n">
        <v>96210</v>
      </c>
      <c r="B25" t="n">
        <v>512</v>
      </c>
      <c r="C25" t="inlineStr">
        <is>
          <t>LG-D365 CRM Project</t>
        </is>
      </c>
      <c r="D25" t="n">
        <v>2</v>
      </c>
      <c r="E25" t="inlineStr">
        <is>
          <t>Feature</t>
        </is>
      </c>
      <c r="F25" t="n">
        <v>2</v>
      </c>
      <c r="G25" t="inlineStr">
        <is>
          <t>In Progress</t>
        </is>
      </c>
      <c r="H25" t="b">
        <v>0</v>
      </c>
      <c r="I25" t="n">
        <v>4</v>
      </c>
      <c r="J25" t="inlineStr">
        <is>
          <t>Normal</t>
        </is>
      </c>
      <c r="K25" t="n">
        <v>875</v>
      </c>
      <c r="L25" t="inlineStr">
        <is>
          <t>VilMat</t>
        </is>
      </c>
      <c r="M25" t="n">
        <v>875</v>
      </c>
      <c r="N25" t="inlineStr">
        <is>
          <t>VilMat</t>
        </is>
      </c>
      <c r="P25" t="inlineStr">
        <is>
          <t>FR3-20250601 - Užsakymas | 2025</t>
        </is>
      </c>
      <c r="Q25" t="inlineStr">
        <is>
          <t>*Darbai vykdomi remiantis su klientu suderinta ir pasitvirtinta excel lentele (Dokumentas prisegamas prie užduoties).*_x000D_
_x000D_
*Modifikacijos apima šiuo pagrindinius sistemos komponentus:*_x000D_
_x000D_
|_.Modulis(LT)|_.Modulis(ENG)|_x000D_
| Eilės | Queue |_x000D_
| Eilių įrašai | Queue Items |_x000D_
| Užklausos | Case |_x000D_
| Klientai | Accounts |_x000D_
| Kontaktai | Contacts |_x000D_
| El.laiškai | Email Messages |_x000D_
| Užduotys | Tasks |_x000D_
| Vartotojai | Users |_x000D_
_x000D_
____________x000D_
_x000D_
Darbai vykdomi 'agile' būdu keliais sprint'ais. Sprint'e atliktos modifikacijos paketais keliamos į testinę aplinką ir perduodama klientui atllikti vizavimą. Patvirtinus funkcijos išbaigtumą modifikacija keliama į Produkcinę aplinką._x000D_
_x000D_
*Numatyti ir suderinti sprint'ai:*_x000D_
* SPRINT_1 (155.5 val.)_x000D_
* SPRINT_2_x000D_
* SPRINT_3_x000D_
_x000D_
*Darbai atliekami sprendinyje pavadinimu: LTG_CRM - #96210 FR3-20250601 System Customizations*_x000D_
_x000D_
____________x000D_
_x000D_
* 2025-09-18 dienai su klientu pasitvirtinta ir suderinta SPRINT_1 darbų apimtis_x000D_
* Šios, pagrindinės, užduoties darbų įvykdymo terminai statomi per SPRINT etapą (SPRINT_1, tada SPRINT_2, tada SPRINT_3)._x000D_
* SPRINT_1 numatoma preliminari darbų pabaiga - *2025-10-24* (dėl kliento testavimo efektyvumo, atsakomumo ir keliamų klausimų gali būti atidėta)</t>
        </is>
      </c>
      <c r="R25" t="inlineStr">
        <is>
          <t>2025-09-18</t>
        </is>
      </c>
      <c r="S25" t="inlineStr">
        <is>
          <t>2025-10-24</t>
        </is>
      </c>
      <c r="T25" t="n">
        <v>27</v>
      </c>
      <c r="U25" t="b">
        <v>0</v>
      </c>
      <c r="W25" t="n">
        <v>155.5</v>
      </c>
      <c r="X25" t="n">
        <v>0</v>
      </c>
      <c r="Y25" t="n">
        <v>101</v>
      </c>
      <c r="Z25" t="inlineStr">
        <is>
          <t>[List]</t>
        </is>
      </c>
      <c r="AA25" t="inlineStr">
        <is>
          <t>2025-09-19T09:22:41Z</t>
        </is>
      </c>
    </row>
    <row r="26">
      <c r="A26" t="n">
        <v>96064</v>
      </c>
      <c r="B26" t="n">
        <v>512</v>
      </c>
      <c r="C26" t="inlineStr">
        <is>
          <t>LG-D365 CRM Project</t>
        </is>
      </c>
      <c r="D26" t="n">
        <v>2</v>
      </c>
      <c r="E26" t="inlineStr">
        <is>
          <t>Feature</t>
        </is>
      </c>
      <c r="F26" t="n">
        <v>17</v>
      </c>
      <c r="G26" t="inlineStr">
        <is>
          <t>Feedback from customer</t>
        </is>
      </c>
      <c r="H26" t="b">
        <v>0</v>
      </c>
      <c r="I26" t="n">
        <v>4</v>
      </c>
      <c r="J26" t="inlineStr">
        <is>
          <t>Normal</t>
        </is>
      </c>
      <c r="K26" t="n">
        <v>875</v>
      </c>
      <c r="L26" t="inlineStr">
        <is>
          <t>VilMat</t>
        </is>
      </c>
      <c r="M26" t="n">
        <v>875</v>
      </c>
      <c r="N26" t="inlineStr">
        <is>
          <t>VilMat</t>
        </is>
      </c>
      <c r="O26" t="n">
        <v>86268</v>
      </c>
      <c r="P26" t="inlineStr">
        <is>
          <t>FR1-20250625-002 - CRM/KIWI integracija - Galimybės atverti CRM kortelę iš MS pusės</t>
        </is>
      </c>
      <c r="Q26" t="inlineStr">
        <is>
          <t>*Kliento poreikis:*_x000D_
* Naujai sukurta CRM skambučio kortelė turėtų būti atidaroma atsiliepusiam į skambutį vartotojui naujame naršyklės lange automatiškai._x000D_
* Klientas tikisi, kad CRM įrašo langas galėtų būti atveriamas vartotojui iš jų Microsoft organizacijos profilio pusės (unikalus servisas, specialūs konektoriai ar kt.)_x000D_
_x000D_
_______________________x000D_
_x000D_
*Problematika:*_x000D_
* KiwiCONTACT sistemos atstovas sako, kad toks kortelės pakėlimas nėra jų turimos programos dalis ir jie to nerealizuoja_x000D_
* Pasiūlytas tarpinio serviso kūrimo variantas klientui nepriimtinas (neplanuoja samdyti trečiosios šalies funkcijos kūrimui)_x000D_
* Pagal numatytąją politiką MS neturi galimybės atverti CRM įrašo langą identifikuotam vartotojui, pagal gautą informaciją iš trečiosios šalies sistemos (KiwiCONTACT), nes tai reikštų, kad reiktų jungtis tiesiogiai į to vartotojo įrenginį su kuriuo jis tuo metu dirba (kompiuteris, plančetė, telefonas, etc.)_x000D_
* CRM sistemai nėra lengva identifikuoti, kurie vartotojai šiuo metu dirba su sistema ir yra aktyvūs (vartotojai prisijungia prie CRM ir palieka prisijungę, nors nebedirba)_x000D_
_x000D_
_______________________x000D_
_x000D_
*Reikalingi veiksmai:*_x000D_
* Patikrinti ir pateikti atsakymą, kokie yra (jeigu yra) galimi variantai, kaip būtų galima atverti CRM įrašo kortelę identifikuoto vartotojo įrenginyje po gautos duomenų apimties iš trečiosios šalies sistemos. _x000D_
* Jeigu yra galimi variantai - pateikti potencialius/preliminarius vertinimus, kiek toks sprendimas gali pareikalauti darbo valandų.</t>
        </is>
      </c>
      <c r="S26" t="inlineStr">
        <is>
          <t>2025-09-26</t>
        </is>
      </c>
      <c r="T26" t="n">
        <v>70</v>
      </c>
      <c r="U26" t="b">
        <v>0</v>
      </c>
      <c r="X26" t="n">
        <v>5.25</v>
      </c>
      <c r="Y26" t="n">
        <v>5.25</v>
      </c>
      <c r="Z26" t="inlineStr">
        <is>
          <t>[List]</t>
        </is>
      </c>
      <c r="AA26" t="inlineStr">
        <is>
          <t>2025-09-16T11:34:23Z</t>
        </is>
      </c>
    </row>
    <row r="27">
      <c r="A27" t="n">
        <v>94099</v>
      </c>
      <c r="B27" t="n">
        <v>512</v>
      </c>
      <c r="C27" t="inlineStr">
        <is>
          <t>LG-D365 CRM Project</t>
        </is>
      </c>
      <c r="D27" t="n">
        <v>3</v>
      </c>
      <c r="E27" t="inlineStr">
        <is>
          <t>Support</t>
        </is>
      </c>
      <c r="F27" t="n">
        <v>3</v>
      </c>
      <c r="G27" t="inlineStr">
        <is>
          <t>Resolved</t>
        </is>
      </c>
      <c r="H27" t="b">
        <v>0</v>
      </c>
      <c r="I27" t="n">
        <v>4</v>
      </c>
      <c r="J27" t="inlineStr">
        <is>
          <t>Normal</t>
        </is>
      </c>
      <c r="K27" t="n">
        <v>875</v>
      </c>
      <c r="L27" t="inlineStr">
        <is>
          <t>VilMat</t>
        </is>
      </c>
      <c r="M27" t="n">
        <v>875</v>
      </c>
      <c r="N27" t="inlineStr">
        <is>
          <t>VilMat</t>
        </is>
      </c>
      <c r="P27" t="inlineStr">
        <is>
          <t>LTG INFRA/LINK testuotojų mokymai - dalyvavimo minutės</t>
        </is>
      </c>
      <c r="Q27" t="inlineStr">
        <is>
          <t>Dalyvaujama EY atliekamuose mokymuose ateityje gebėjimui perimti ir atlikti produkto aptarnavimą</t>
        </is>
      </c>
      <c r="R27" t="inlineStr">
        <is>
          <t>2025-08-05</t>
        </is>
      </c>
      <c r="S27" t="inlineStr">
        <is>
          <t>2025-08-21</t>
        </is>
      </c>
      <c r="T27" t="n">
        <v>100</v>
      </c>
      <c r="U27" t="b">
        <v>0</v>
      </c>
      <c r="X27" t="n">
        <v>6</v>
      </c>
      <c r="Y27" t="n">
        <v>6</v>
      </c>
      <c r="Z27" t="inlineStr">
        <is>
          <t>[List]</t>
        </is>
      </c>
      <c r="AA27" t="inlineStr">
        <is>
          <t>2025-08-05T13:19:09Z</t>
        </is>
      </c>
    </row>
    <row r="28">
      <c r="A28" t="n">
        <v>94020</v>
      </c>
      <c r="B28" t="n">
        <v>512</v>
      </c>
      <c r="C28" t="inlineStr">
        <is>
          <t>LG-D365 CRM Project</t>
        </is>
      </c>
      <c r="D28" t="n">
        <v>3</v>
      </c>
      <c r="E28" t="inlineStr">
        <is>
          <t>Support</t>
        </is>
      </c>
      <c r="F28" t="n">
        <v>3</v>
      </c>
      <c r="G28" t="inlineStr">
        <is>
          <t>Resolved</t>
        </is>
      </c>
      <c r="H28" t="b">
        <v>0</v>
      </c>
      <c r="I28" t="n">
        <v>7</v>
      </c>
      <c r="J28" t="inlineStr">
        <is>
          <t>Immediate</t>
        </is>
      </c>
      <c r="K28" t="n">
        <v>830</v>
      </c>
      <c r="L28" t="inlineStr">
        <is>
          <t>EgiAsi</t>
        </is>
      </c>
      <c r="M28" t="n">
        <v>875</v>
      </c>
      <c r="N28" t="inlineStr">
        <is>
          <t>VilMat</t>
        </is>
      </c>
      <c r="P28" t="inlineStr">
        <is>
          <t>Kliento prevencijos informacija - atvaizdavimo pakeitimas</t>
        </is>
      </c>
      <c r="Q28" t="inlineStr">
        <is>
          <t>Sveiki, užsakau darbą, vykdyti nedelsiant, nelaukiant kitų prioritetų suderinimo, nes tai susiję su audito rekomendacija._x000D_
_x000D_
Į "Naujas kliento prevencijos įrašas" kortelę įterpti naują lauką nuorodai įkopijuoti (idealu kad būtų kaip "Dokumentų vieta", su gaubliuku, kurė paspaudus atvertų nuorodą). Pridedu pav. su vieta. _x000D_
Lauko pavadinimas "Dokumentas DVS/ DVS document".</t>
        </is>
      </c>
      <c r="R28" t="inlineStr">
        <is>
          <t>2025-08-06</t>
        </is>
      </c>
      <c r="S28" t="inlineStr">
        <is>
          <t>2025-08-08</t>
        </is>
      </c>
      <c r="T28" t="n">
        <v>100</v>
      </c>
      <c r="U28" t="b">
        <v>0</v>
      </c>
      <c r="V28" t="n">
        <v>2.5</v>
      </c>
      <c r="W28" t="n">
        <v>2.5</v>
      </c>
      <c r="X28" t="n">
        <v>2.5</v>
      </c>
      <c r="Y28" t="n">
        <v>2.5</v>
      </c>
      <c r="Z28" t="inlineStr">
        <is>
          <t>[List]</t>
        </is>
      </c>
      <c r="AA28" t="inlineStr">
        <is>
          <t>2025-08-05T05:05:10Z</t>
        </is>
      </c>
    </row>
    <row r="29">
      <c r="A29" t="n">
        <v>91467</v>
      </c>
      <c r="B29" t="n">
        <v>512</v>
      </c>
      <c r="C29" t="inlineStr">
        <is>
          <t>LG-D365 CRM Project</t>
        </is>
      </c>
      <c r="D29" t="n">
        <v>2</v>
      </c>
      <c r="E29" t="inlineStr">
        <is>
          <t>Feature</t>
        </is>
      </c>
      <c r="F29" t="n">
        <v>17</v>
      </c>
      <c r="G29" t="inlineStr">
        <is>
          <t>Feedback from customer</t>
        </is>
      </c>
      <c r="H29" t="b">
        <v>0</v>
      </c>
      <c r="I29" t="n">
        <v>4</v>
      </c>
      <c r="J29" t="inlineStr">
        <is>
          <t>Normal</t>
        </is>
      </c>
      <c r="K29" t="n">
        <v>875</v>
      </c>
      <c r="L29" t="inlineStr">
        <is>
          <t>VilMat</t>
        </is>
      </c>
      <c r="M29" t="n">
        <v>830</v>
      </c>
      <c r="N29" t="inlineStr">
        <is>
          <t>EgiAsi</t>
        </is>
      </c>
      <c r="P29" t="inlineStr">
        <is>
          <t>FR2-20250625-000 - Kliento migravimas iš Sales Hub į Copilot Service Workspace programą</t>
        </is>
      </c>
      <c r="Q29" t="inlineStr">
        <is>
          <t xml:space="preserve">Atliekama sistemos analizė ar įmanoma klientui, be didelių išlaidų, persikvalifikuoti iš Sales Hub į Service Workspace programą išlaikant tas pačias formas, tačiau persikvalifikuojant dirbti su nauju dizainu._x000D_
Atlikus analizę informuojamas klientas apie perėjimo galimybes. _x000D_
_x000D_
Migravimas į Service Workspace programą tiesiogiai susijęs su telefonijos sprendimo integravimusi. Nuo to priklausys ar klientas galėtų dirbti su skambučiais naujame, programos suteikiamame, dizaine._x000D_
Užduotis susijusi su: #86268 </t>
        </is>
      </c>
      <c r="S29" t="inlineStr">
        <is>
          <t>2025-07-31</t>
        </is>
      </c>
      <c r="T29" t="n">
        <v>60</v>
      </c>
      <c r="U29" t="b">
        <v>0</v>
      </c>
      <c r="V29" t="n">
        <v>30</v>
      </c>
      <c r="W29" t="n">
        <v>30</v>
      </c>
      <c r="X29" t="n">
        <v>5.25</v>
      </c>
      <c r="Y29" t="n">
        <v>5.25</v>
      </c>
      <c r="Z29" t="inlineStr">
        <is>
          <t>[List]</t>
        </is>
      </c>
      <c r="AA29" t="inlineStr">
        <is>
          <t>2025-06-25T11:48:05Z</t>
        </is>
      </c>
    </row>
    <row r="30">
      <c r="A30" t="n">
        <v>91466</v>
      </c>
      <c r="B30" t="n">
        <v>512</v>
      </c>
      <c r="C30" t="inlineStr">
        <is>
          <t>LG-D365 CRM Project</t>
        </is>
      </c>
      <c r="D30" t="n">
        <v>2</v>
      </c>
      <c r="E30" t="inlineStr">
        <is>
          <t>Feature</t>
        </is>
      </c>
      <c r="F30" t="n">
        <v>17</v>
      </c>
      <c r="G30" t="inlineStr">
        <is>
          <t>Feedback from customer</t>
        </is>
      </c>
      <c r="H30" t="b">
        <v>0</v>
      </c>
      <c r="I30" t="n">
        <v>4</v>
      </c>
      <c r="J30" t="inlineStr">
        <is>
          <t>Normal</t>
        </is>
      </c>
      <c r="K30" t="n">
        <v>875</v>
      </c>
      <c r="L30" t="inlineStr">
        <is>
          <t>VilMat</t>
        </is>
      </c>
      <c r="M30" t="n">
        <v>830</v>
      </c>
      <c r="N30" t="inlineStr">
        <is>
          <t>EgiAsi</t>
        </is>
      </c>
      <c r="O30" t="n">
        <v>86268</v>
      </c>
      <c r="P30" t="inlineStr">
        <is>
          <t>FR1-20250625-001 - Funkcinio-techninio projektavimo dokumento paruošimas ir perdavimas klientui (KIWI Integracija)</t>
        </is>
      </c>
      <c r="Q30" t="inlineStr">
        <is>
          <t xml:space="preserve">Paruošiamas funkcinis - techninis, dvipusės KIWI telefonijos sprendimo integracijos su CRM, dokumentas_x000D_
</t>
        </is>
      </c>
      <c r="T30" t="n">
        <v>100</v>
      </c>
      <c r="U30" t="b">
        <v>0</v>
      </c>
      <c r="V30" t="n">
        <v>32</v>
      </c>
      <c r="W30" t="n">
        <v>32</v>
      </c>
      <c r="X30" t="n">
        <v>31.5</v>
      </c>
      <c r="Y30" t="n">
        <v>31.5</v>
      </c>
      <c r="Z30" t="inlineStr">
        <is>
          <t>[List]</t>
        </is>
      </c>
      <c r="AA30" t="inlineStr">
        <is>
          <t>2025-06-25T11:43:50Z</t>
        </is>
      </c>
    </row>
    <row r="31">
      <c r="A31" t="n">
        <v>90447</v>
      </c>
      <c r="B31" t="n">
        <v>512</v>
      </c>
      <c r="C31" t="inlineStr">
        <is>
          <t>LG-D365 CRM Project</t>
        </is>
      </c>
      <c r="D31" t="n">
        <v>2</v>
      </c>
      <c r="E31" t="inlineStr">
        <is>
          <t>Feature</t>
        </is>
      </c>
      <c r="F31" t="n">
        <v>2</v>
      </c>
      <c r="G31" t="inlineStr">
        <is>
          <t>In Progress</t>
        </is>
      </c>
      <c r="H31" t="b">
        <v>0</v>
      </c>
      <c r="I31" t="n">
        <v>4</v>
      </c>
      <c r="J31" t="inlineStr">
        <is>
          <t>Normal</t>
        </is>
      </c>
      <c r="K31" t="n">
        <v>875</v>
      </c>
      <c r="L31" t="inlineStr">
        <is>
          <t>VilMat</t>
        </is>
      </c>
      <c r="M31" t="n">
        <v>875</v>
      </c>
      <c r="N31" t="inlineStr">
        <is>
          <t>VilMat</t>
        </is>
      </c>
      <c r="P31" t="inlineStr">
        <is>
          <t>FR3-20250601 - Nauji kliento poreikiai | susitikimų minutės (Pradžia 2025-06-04) | LTG/GO-ERP</t>
        </is>
      </c>
      <c r="Q31" t="inlineStr">
        <is>
          <t xml:space="preserve">Susitikimo metu aptariami potencialūs poreikiai ir jų galimybės būti įgyvendintomis, remiantis sistemos galimybėmis._x000D_
_x000D_
Pirmas susitikimas 2025-06-04:_x000D_
* Aptarti pirmieji 14 punktų iš kliento poreikių excelio sąrašo_x000D_
_x000D_
Antras susitikimas 2025-06-09:_x000D_
* Aptarti sekantys punktai iki 22-24 poreikio_x000D_
_x000D_
Trečiasis susitikimas 2025-06-11:_x000D_
* Aptarti sekantys punktai iki 41 poreikio_x000D_
_x000D_
Ketvirtasis susitikimas 2025-06-12:_x000D_
* Aptarti sekantys punktai iki 45 poreikio_x000D_
_x000D_
Penktasis susitikimas 2025-08-27:_x000D_
* Aptarta ir susiderinta dalis pirmo prioriteto poreikių_x000D_
_x000D_
Šeštasis susitikimas 2025-08-28:_x000D_
* Aptarta ir susiderinta dalis pirmo prioriteto poreikių_x000D_
_x000D_
Septintasis susitikimas 2025-09-02:_x000D_
* Aptarta ir susiderinta dalis pirmo prioriteto poreikių_x000D_
_x000D_
Aštuntasis susitikimas 2025-09-03:_x000D_
* Aptarta ir susiderinta dalis pirmo prioriteto poreikių_x000D_
_x000D_
Devintasis susitikimas 2025-09-10:_x000D_
* Aptarta SLA skaičiavimo logika ir keliami poreikiai modifikacijoms susijusiems šia tema, pagal poreikių excelį_x000D_
_x000D_
Dešimtasis susitikimas 2025-09-12:_x000D_
* Aptarti ir suderinti galutiniai pirmo prioriteto darbai, jų apimtys, techniniai išpildymai_x000D_
_x000D_
Vienuoliktasis susitikimas 2025-09-23:_x000D_
* Aptarta ir suderinta dalis antro prioriteto poreikių_x000D_
_x000D_
Dvyliktasis susitikimas 2025-09-24:_x000D_
* Aptarta ir suderinta dalis antro prioriteto poreikių_x000D_
_x000D_
Tryliktasis susitikimas 2025-09-30:_x000D_
* Aptarta ir suderinta dalis antro prioriteto poreikių, iškelti papildomi poreikiai_x000D_
_x000D_
Keturioliktasis susitikimas 2025-10-01:_x000D_
* Aptarta ir suderinta dalis antro prioriteto poreikių, aptarti alternatyvūs įgyvendinimo scenarijai_x000D_
_x000D_
Penkioliktasis susitikimas 2025-10-02:_x000D_
* Aptarta ir suderinta dalis antro prioriteto poreikių, aptarti alternatyvūs įgyvendinimo scenarijai, iškelti papildomi poreikiai_x000D_
_x000D_
Šešioliktasis susitikimas 2025-10-08:_x000D_
* Aptarta ir suderinta dalis antro prioriteto poreikių, pasiūlyta alternatyvių įgyvendinimo scenarijų_x000D_
_x000D_
Septynioliktasis susitikimas 2025-10-09:_x000D_
* Aptarta ir suderinta dalis antro prioriteto poreikių, suderintas alternatyvus funkcinis įgyvendinimas pirminio poreikio atžvilgiu_x000D_
_x000D_
Aštuonioliktasis susitikimas 2025-10-13:_x000D_
* Aptarta ir suderinta dalis antro prioriteto poreikių, aptartos pranešimų siuntimo variacijos ir galimas alternatyvus pranešimų siuntimo metodas užklausų atveju_x000D_
_x000D_
_______________x000D_
_x000D_
Dokumento pateikimas klientui su pradiniais komentarais:_x000D_
* Klientui pateikta naujausia dokumento versija 2025-06-23_x000D_
_x000D_
Toliau vykdomas sąrašo papildymas iš kliento, atitinkamai vertinimas poreikių be iteracijos su klientu ir pateikiant trumpus atsakymus į punktus klientui._x000D_
_x000D_
_______________x000D_
_x000D_
2025-09-17:_x000D_
* Pateikta atnaujinta vertinimo lentelė su atnaujintu poreikių exceliu ir papildytais komentarais bei vertinimais_x000D_
_x000D_
2025-09-18:_x000D_
* Klientas patvirtina užsakomus 1-o prioriteto poreikius_x000D_
_x000D_
Suplanuotas pirmo prioriteto darbų grafikas:_x000D_
Pradžia: 2025-09-18_x000D_
Pabaiga: 2025-10-24_x000D_
_x000D_
2025-09-23:_x000D_
* Pradėti derinti antro prioriteto poreikiai  </t>
        </is>
      </c>
      <c r="R31" t="inlineStr">
        <is>
          <t>2025-06-04</t>
        </is>
      </c>
      <c r="T31" t="n">
        <v>80</v>
      </c>
      <c r="U31" t="b">
        <v>0</v>
      </c>
      <c r="V31" t="n">
        <v>795</v>
      </c>
      <c r="W31" t="n">
        <v>795</v>
      </c>
      <c r="X31" t="n">
        <v>81.5</v>
      </c>
      <c r="Y31" t="n">
        <v>81.5</v>
      </c>
      <c r="Z31" t="inlineStr">
        <is>
          <t>[List]</t>
        </is>
      </c>
      <c r="AA31" t="inlineStr">
        <is>
          <t>2025-06-04T16:18:51Z</t>
        </is>
      </c>
    </row>
    <row r="32">
      <c r="A32" t="n">
        <v>86268</v>
      </c>
      <c r="B32" t="n">
        <v>512</v>
      </c>
      <c r="C32" t="inlineStr">
        <is>
          <t>LG-D365 CRM Project</t>
        </is>
      </c>
      <c r="D32" t="n">
        <v>2</v>
      </c>
      <c r="E32" t="inlineStr">
        <is>
          <t>Feature</t>
        </is>
      </c>
      <c r="F32" t="n">
        <v>17</v>
      </c>
      <c r="G32" t="inlineStr">
        <is>
          <t>Feedback from customer</t>
        </is>
      </c>
      <c r="H32" t="b">
        <v>0</v>
      </c>
      <c r="I32" t="n">
        <v>4</v>
      </c>
      <c r="J32" t="inlineStr">
        <is>
          <t>Normal</t>
        </is>
      </c>
      <c r="K32" t="n">
        <v>830</v>
      </c>
      <c r="L32" t="inlineStr">
        <is>
          <t>EgiAsi</t>
        </is>
      </c>
      <c r="M32" t="n">
        <v>830</v>
      </c>
      <c r="N32" t="inlineStr">
        <is>
          <t>EgiAsi</t>
        </is>
      </c>
      <c r="P32" t="inlineStr">
        <is>
          <t>FR1-20250625-000 - CRM &lt;&gt; KIWI integracija</t>
        </is>
      </c>
      <c r="Q32" t="inlineStr">
        <is>
          <t xml:space="preserve">Sveiki, turim poreikį integracijai tarp CRM ir KiwiCONTACT. _x000D_
Siunčiu API dokumentaciją. URL bus https://data.cc.litrail.lt/_x000D_
_x000D_
Poreikis jau anksčiau buvo nagrinėtas su Pijumi, bet gal reiks viską pakartoti._x000D_
_x000D_
Preliminarus siekiamas rezultatas - kad paskambinus Klientui per KIWI, atsidarytų CRM Kliento kortelė ir susikurtų užklausa (jei taip galima)._x000D_
Kol kas tikslaus proceso nėra, gryninamasi, šią savaitę sugrįšiu su detalėm. _x000D_
_x000D_
Būtų gerai pasiplanuoti kitai savaitei resursus susitikimui._x000D_
</t>
        </is>
      </c>
      <c r="T32" t="n">
        <v>85</v>
      </c>
      <c r="U32" t="b">
        <v>0</v>
      </c>
      <c r="V32" t="n">
        <v>16</v>
      </c>
      <c r="W32" t="n">
        <v>48</v>
      </c>
      <c r="X32" t="n">
        <v>17</v>
      </c>
      <c r="Y32" t="n">
        <v>53.75</v>
      </c>
      <c r="Z32" t="inlineStr">
        <is>
          <t>[List]</t>
        </is>
      </c>
      <c r="AA32" t="inlineStr">
        <is>
          <t>2025-04-28T11:14:50Z</t>
        </is>
      </c>
    </row>
    <row r="33">
      <c r="A33" t="n">
        <v>78569</v>
      </c>
      <c r="B33" t="n">
        <v>512</v>
      </c>
      <c r="C33" t="inlineStr">
        <is>
          <t>LG-D365 CRM Project</t>
        </is>
      </c>
      <c r="D33" t="n">
        <v>3</v>
      </c>
      <c r="E33" t="inlineStr">
        <is>
          <t>Support</t>
        </is>
      </c>
      <c r="F33" t="n">
        <v>7</v>
      </c>
      <c r="G33" t="inlineStr">
        <is>
          <t>Stalled</t>
        </is>
      </c>
      <c r="H33" t="b">
        <v>0</v>
      </c>
      <c r="I33" t="n">
        <v>4</v>
      </c>
      <c r="J33" t="inlineStr">
        <is>
          <t>Normal</t>
        </is>
      </c>
      <c r="K33" t="n">
        <v>830</v>
      </c>
      <c r="L33" t="inlineStr">
        <is>
          <t>EgiAsi</t>
        </is>
      </c>
      <c r="M33" t="n">
        <v>830</v>
      </c>
      <c r="N33" t="inlineStr">
        <is>
          <t>EgiAsi</t>
        </is>
      </c>
      <c r="P33" t="inlineStr">
        <is>
          <t>BDAR atitikties užtikrinimas</t>
        </is>
      </c>
      <c r="Q33" t="inlineStr">
        <is>
          <t xml:space="preserve">Reikalingas sprendimas, kuris užtikrintų technines ir organizacines priemones duomenims apsaugoti pagal GDPR reikalavimus, taip pat turi būti užtikrinamos suprojektuotos duomenų apsaugos ir numatytosios duomenų apsaugos principų laikymasi (BDAR 25 str.), įskaitant, bet tuo neapsiribojant, saugojimo terminų nustatymą, asmens duomenų anonimiškumą (pseudonimizavimą) ar ištrynimą automatizuotomis priemonėmis ir kt._x000D_
_x000D_
</t>
        </is>
      </c>
      <c r="T33" t="n">
        <v>0</v>
      </c>
      <c r="U33" t="b">
        <v>0</v>
      </c>
      <c r="X33" t="n">
        <v>0.5</v>
      </c>
      <c r="Y33" t="n">
        <v>0.5</v>
      </c>
      <c r="Z33" t="inlineStr">
        <is>
          <t>[List]</t>
        </is>
      </c>
      <c r="AA33" t="inlineStr">
        <is>
          <t>2025-01-14T07:14:33Z</t>
        </is>
      </c>
    </row>
    <row r="34">
      <c r="A34" t="n">
        <v>78567</v>
      </c>
      <c r="B34" t="n">
        <v>512</v>
      </c>
      <c r="C34" t="inlineStr">
        <is>
          <t>LG-D365 CRM Project</t>
        </is>
      </c>
      <c r="D34" t="n">
        <v>3</v>
      </c>
      <c r="E34" t="inlineStr">
        <is>
          <t>Support</t>
        </is>
      </c>
      <c r="F34" t="n">
        <v>3</v>
      </c>
      <c r="G34" t="inlineStr">
        <is>
          <t>Resolved</t>
        </is>
      </c>
      <c r="H34" t="b">
        <v>0</v>
      </c>
      <c r="I34" t="n">
        <v>4</v>
      </c>
      <c r="J34" t="inlineStr">
        <is>
          <t>Normal</t>
        </is>
      </c>
      <c r="K34" t="n">
        <v>830</v>
      </c>
      <c r="L34" t="inlineStr">
        <is>
          <t>EgiAsi</t>
        </is>
      </c>
      <c r="M34" t="n">
        <v>830</v>
      </c>
      <c r="N34" t="inlineStr">
        <is>
          <t>EgiAsi</t>
        </is>
      </c>
      <c r="P34" t="inlineStr">
        <is>
          <t xml:space="preserve">Priedų nukrovimas iš DB </t>
        </is>
      </c>
      <c r="Q34" t="inlineStr">
        <is>
          <t xml:space="preserve">Poreikis yra susitvarkyti visokių priedų kaupimą DB, nes stoja greitaveika ir labai greit pildosi vieta._x000D_
Buvome informuoti, jog turite kažkokį sprendimą._x000D_
_x000D_
Prašau pavertinti kiek kainuotų šio sprendimo įdiegimas ir failų sutvarkymas valandomis ir laike._x000D_
</t>
        </is>
      </c>
      <c r="T34" t="n">
        <v>0</v>
      </c>
      <c r="U34" t="b">
        <v>0</v>
      </c>
      <c r="V34" t="n">
        <v>65</v>
      </c>
      <c r="W34" t="n">
        <v>65</v>
      </c>
      <c r="X34" t="n">
        <v>3.75</v>
      </c>
      <c r="Y34" t="n">
        <v>3.75</v>
      </c>
      <c r="Z34" t="inlineStr">
        <is>
          <t>[List]</t>
        </is>
      </c>
      <c r="AA34" t="inlineStr">
        <is>
          <t>2025-01-14T06:48:34Z</t>
        </is>
      </c>
    </row>
    <row r="35">
      <c r="A35" t="n">
        <v>78226</v>
      </c>
      <c r="B35" t="n">
        <v>512</v>
      </c>
      <c r="C35" t="inlineStr">
        <is>
          <t>LG-D365 CRM Project</t>
        </is>
      </c>
      <c r="D35" t="n">
        <v>3</v>
      </c>
      <c r="E35" t="inlineStr">
        <is>
          <t>Support</t>
        </is>
      </c>
      <c r="F35" t="n">
        <v>3</v>
      </c>
      <c r="G35" t="inlineStr">
        <is>
          <t>Resolved</t>
        </is>
      </c>
      <c r="H35" t="b">
        <v>0</v>
      </c>
      <c r="I35" t="n">
        <v>4</v>
      </c>
      <c r="J35" t="inlineStr">
        <is>
          <t>Normal</t>
        </is>
      </c>
      <c r="K35" t="n">
        <v>996</v>
      </c>
      <c r="L35" t="inlineStr">
        <is>
          <t>VlaRaz</t>
        </is>
      </c>
      <c r="M35" t="n">
        <v>875</v>
      </c>
      <c r="N35" t="inlineStr">
        <is>
          <t>VilMat</t>
        </is>
      </c>
      <c r="P35" t="inlineStr">
        <is>
          <t>Patikrinti techninę dokumentaciją ir vartotojų vadovus</t>
        </is>
      </c>
      <c r="Q35" t="inlineStr">
        <is>
          <t xml:space="preserve">https://pm.go-erp.eu/issues/69759_x000D_
https://pm.go-erp.eu/issues/69762_x000D_
https://pm.go-erp.eu/issues/69789_x000D_
</t>
        </is>
      </c>
      <c r="R35" t="inlineStr">
        <is>
          <t>2025-01-16</t>
        </is>
      </c>
      <c r="T35" t="n">
        <v>100</v>
      </c>
      <c r="U35" t="b">
        <v>0</v>
      </c>
      <c r="V35" t="n">
        <v>12</v>
      </c>
      <c r="W35" t="n">
        <v>12</v>
      </c>
      <c r="X35" t="n">
        <v>0</v>
      </c>
      <c r="Y35" t="n">
        <v>0</v>
      </c>
      <c r="Z35" t="inlineStr">
        <is>
          <t>[List]</t>
        </is>
      </c>
      <c r="AA35" t="inlineStr">
        <is>
          <t>2025-01-08T09:36:55Z</t>
        </is>
      </c>
    </row>
    <row r="36">
      <c r="A36" t="n">
        <v>77348</v>
      </c>
      <c r="B36" t="n">
        <v>512</v>
      </c>
      <c r="C36" t="inlineStr">
        <is>
          <t>LG-D365 CRM Project</t>
        </is>
      </c>
      <c r="D36" t="n">
        <v>2</v>
      </c>
      <c r="E36" t="inlineStr">
        <is>
          <t>Feature</t>
        </is>
      </c>
      <c r="F36" t="n">
        <v>7</v>
      </c>
      <c r="G36" t="inlineStr">
        <is>
          <t>Stalled</t>
        </is>
      </c>
      <c r="H36" t="b">
        <v>0</v>
      </c>
      <c r="I36" t="n">
        <v>4</v>
      </c>
      <c r="J36" t="inlineStr">
        <is>
          <t>Normal</t>
        </is>
      </c>
      <c r="K36" t="n">
        <v>875</v>
      </c>
      <c r="L36" t="inlineStr">
        <is>
          <t>VilMat</t>
        </is>
      </c>
      <c r="M36" t="n">
        <v>830</v>
      </c>
      <c r="N36" t="inlineStr">
        <is>
          <t>EgiAsi</t>
        </is>
      </c>
      <c r="P36" t="inlineStr">
        <is>
          <t>Pridėti papildomą parinktį užklausos laukelyje "Pretenzijos nepagrįstumo priežastis"</t>
        </is>
      </c>
      <c r="Q36" t="inlineStr">
        <is>
          <t xml:space="preserve">Poreikis:_x000D_
Papildyti: Pretenzija teikiama klientui_x000D_
_x000D_
Techninis išpildymas:_x000D_
* Modifikuojamas laukelis: Pretenzijos nepagrįstumo priežastis (Label: Claim rejection reaso; logical: ey_claimrejectionreason)_x000D_
* Laukelis papildomas pasirinkimu: Pretenzija teikiama klientui (Angl. Claim applied to customer)_x000D_
* Modifikacijos atliekamos modulyje: Užklausos (Angl.Cases)_x000D_
_x000D_
Vertinimas:_x000D_
* Laukelio modifikacijos - 0.5val._x000D_
* Testavimas trijose aplinkose - 1val._x000D_
* Modifikacijų pernešimas į TEST ir PROD aplinkas - 2 val._x000D_
* *VISO: 3,5val. darbų*_x000D_
_x000D_
In-Scope:_x000D_
* Claim rejection reason laukelio papildymas papildomu pasirinkimu_x000D_
* Testavimas DEV, TEST, PROD aplinkose_x000D_
* Modifikacijų migravimas iš DEV į TEST ir PROD aplinkas_x000D_
* Laukelio vertimo į lietuvių kalbą aplikavimas_x000D_
_x000D_
Out-of-scope:_x000D_
* Bet kokių techninių dokumentų kūrimas/papildymas_x000D_
* Laukelio tipo keitimas_x000D_
* Esamų parinkčių šalinimas_x000D_
* Kitų nesuderintų parinkčių papildymas_x000D_
_x000D_
!clipboard-202412101600-i4jym.png!_x000D_
</t>
        </is>
      </c>
      <c r="T36" t="n">
        <v>0</v>
      </c>
      <c r="U36" t="b">
        <v>0</v>
      </c>
      <c r="V36" t="n">
        <v>3.5</v>
      </c>
      <c r="W36" t="n">
        <v>3.5</v>
      </c>
      <c r="X36" t="n">
        <v>0.5</v>
      </c>
      <c r="Y36" t="n">
        <v>0.5</v>
      </c>
      <c r="Z36" t="inlineStr">
        <is>
          <t>[List]</t>
        </is>
      </c>
      <c r="AA36" t="inlineStr">
        <is>
          <t>2024-12-10T14:10:18Z</t>
        </is>
      </c>
    </row>
    <row r="37">
      <c r="A37" t="n">
        <v>76336</v>
      </c>
      <c r="B37" t="n">
        <v>512</v>
      </c>
      <c r="C37" t="inlineStr">
        <is>
          <t>LG-D365 CRM Project</t>
        </is>
      </c>
      <c r="D37" t="n">
        <v>2</v>
      </c>
      <c r="E37" t="inlineStr">
        <is>
          <t>Feature</t>
        </is>
      </c>
      <c r="F37" t="n">
        <v>3</v>
      </c>
      <c r="G37" t="inlineStr">
        <is>
          <t>Resolved</t>
        </is>
      </c>
      <c r="H37" t="b">
        <v>0</v>
      </c>
      <c r="I37" t="n">
        <v>4</v>
      </c>
      <c r="J37" t="inlineStr">
        <is>
          <t>Normal</t>
        </is>
      </c>
      <c r="K37" t="n">
        <v>875</v>
      </c>
      <c r="L37" t="inlineStr">
        <is>
          <t>VilMat</t>
        </is>
      </c>
      <c r="M37" t="n">
        <v>875</v>
      </c>
      <c r="N37" t="inlineStr">
        <is>
          <t>VilMat</t>
        </is>
      </c>
      <c r="P37" t="inlineStr">
        <is>
          <t>FR - Užduočių(Task) ir Užklausų(Case) modulių modifikacijos</t>
        </is>
      </c>
      <c r="T37" t="n">
        <v>100</v>
      </c>
      <c r="U37" t="b">
        <v>0</v>
      </c>
      <c r="W37" t="n">
        <v>462.5</v>
      </c>
      <c r="X37" t="n">
        <v>2.25</v>
      </c>
      <c r="Y37" t="n">
        <v>687.4</v>
      </c>
      <c r="Z37" t="inlineStr">
        <is>
          <t>[List]</t>
        </is>
      </c>
      <c r="AA37" t="inlineStr">
        <is>
          <t>2024-11-29T16:09:16Z</t>
        </is>
      </c>
    </row>
    <row r="38">
      <c r="A38" t="n">
        <v>67630</v>
      </c>
      <c r="B38" t="n">
        <v>512</v>
      </c>
      <c r="C38" t="inlineStr">
        <is>
          <t>LG-D365 CRM Project</t>
        </is>
      </c>
      <c r="D38" t="n">
        <v>2</v>
      </c>
      <c r="E38" t="inlineStr">
        <is>
          <t>Feature</t>
        </is>
      </c>
      <c r="F38" t="n">
        <v>3</v>
      </c>
      <c r="G38" t="inlineStr">
        <is>
          <t>Resolved</t>
        </is>
      </c>
      <c r="H38" t="b">
        <v>0</v>
      </c>
      <c r="I38" t="n">
        <v>4</v>
      </c>
      <c r="J38" t="inlineStr">
        <is>
          <t>Normal</t>
        </is>
      </c>
      <c r="K38" t="n">
        <v>875</v>
      </c>
      <c r="L38" t="inlineStr">
        <is>
          <t>VilMat</t>
        </is>
      </c>
      <c r="M38" t="n">
        <v>830</v>
      </c>
      <c r="N38" t="inlineStr">
        <is>
          <t>EgiAsi</t>
        </is>
      </c>
      <c r="P38" t="inlineStr">
        <is>
          <t>Teams Adaptive Cards - Pakartotiniai pranešimai nurodytam asmeniui į Teams apie tą pačią užduotį</t>
        </is>
      </c>
      <c r="Q38" t="inlineStr">
        <is>
          <t>Labas, gal jau klausiau bet noriu užsitvirtinti: ar techniškai įmanoma padaryti Teams tipo užduotis (kai Teams iššoka su flow) daugkartines? t.y. dabar sukūrus tokią gauna nelicencijuotas asmuo į Teams ir gali atsakyti ir užduotis užsidaro. Ar ją galima esant poreikiui tikslintis informaciją atidarinėti/ inicijuoti daug kartų tą pačią - kol tiks atsakymas? Iškviesti tą flow vėl ir vėl kaip suprantu reikia. Nes dabar jei gavau atsakymą, daugiau neina panaudot tos užduoties._x000D_
Egidijus</t>
        </is>
      </c>
      <c r="R38" t="inlineStr">
        <is>
          <t>2024-04-23</t>
        </is>
      </c>
      <c r="T38" t="n">
        <v>100</v>
      </c>
      <c r="U38" t="b">
        <v>0</v>
      </c>
      <c r="X38" t="n">
        <v>1.75</v>
      </c>
      <c r="Y38" t="n">
        <v>1.75</v>
      </c>
      <c r="Z38" t="inlineStr">
        <is>
          <t>[List]</t>
        </is>
      </c>
      <c r="AA38" t="inlineStr">
        <is>
          <t>2024-04-23T13:30:53Z</t>
        </is>
      </c>
    </row>
    <row r="39">
      <c r="A39" t="n">
        <v>67288</v>
      </c>
      <c r="B39" t="n">
        <v>512</v>
      </c>
      <c r="C39" t="inlineStr">
        <is>
          <t>LG-D365 CRM Project</t>
        </is>
      </c>
      <c r="D39" t="n">
        <v>3</v>
      </c>
      <c r="E39" t="inlineStr">
        <is>
          <t>Support</t>
        </is>
      </c>
      <c r="F39" t="n">
        <v>6</v>
      </c>
      <c r="G39" t="inlineStr">
        <is>
          <t>Rejected</t>
        </is>
      </c>
      <c r="H39" t="b">
        <v>0</v>
      </c>
      <c r="I39" t="n">
        <v>4</v>
      </c>
      <c r="J39" t="inlineStr">
        <is>
          <t>Normal</t>
        </is>
      </c>
      <c r="K39" t="n">
        <v>830</v>
      </c>
      <c r="L39" t="inlineStr">
        <is>
          <t>EgiAsi</t>
        </is>
      </c>
      <c r="M39" t="n">
        <v>830</v>
      </c>
      <c r="N39" t="inlineStr">
        <is>
          <t>EgiAsi</t>
        </is>
      </c>
      <c r="P39" t="inlineStr">
        <is>
          <t>Rizikos vertinimo lauko užkeitimas</t>
        </is>
      </c>
      <c r="Q39" t="inlineStr">
        <is>
          <t xml:space="preserve">Sveiki, atsirado poreikis praplėsti rizikos verinimo būseną papildomu pasirinkimu, tačiau dabartinis tipas yra pasirinkimas iš dviejų._x000D_
Prašau pavertinti kiek kainuotų sukurti analogišką lauką su iškrentačiu meniu (daugiau nei 2 reikšmių sąrašas) ir kada galėtumėte realizuoti. _x000D_
Bus reikalingas duomenų sumapinimas ir užkėlimas ant naujo pasirinkimo jau sukurtiems/istoriniams duomenims._x000D_
_x000D_
_x000D_
</t>
        </is>
      </c>
      <c r="R39" t="inlineStr">
        <is>
          <t>2024-04-16</t>
        </is>
      </c>
      <c r="T39" t="n">
        <v>0</v>
      </c>
      <c r="U39" t="b">
        <v>0</v>
      </c>
      <c r="X39" t="n">
        <v>1.75</v>
      </c>
      <c r="Y39" t="n">
        <v>1.75</v>
      </c>
      <c r="Z39" t="inlineStr">
        <is>
          <t>[List]</t>
        </is>
      </c>
      <c r="AA39" t="inlineStr">
        <is>
          <t>2024-04-15T12:22:12Z</t>
        </is>
      </c>
    </row>
    <row r="40">
      <c r="A40" t="n">
        <v>65707</v>
      </c>
      <c r="B40" t="n">
        <v>512</v>
      </c>
      <c r="C40" t="inlineStr">
        <is>
          <t>LG-D365 CRM Project</t>
        </is>
      </c>
      <c r="D40" t="n">
        <v>3</v>
      </c>
      <c r="E40" t="inlineStr">
        <is>
          <t>Support</t>
        </is>
      </c>
      <c r="F40" t="n">
        <v>2</v>
      </c>
      <c r="G40" t="inlineStr">
        <is>
          <t>In Progress</t>
        </is>
      </c>
      <c r="H40" t="b">
        <v>0</v>
      </c>
      <c r="I40" t="n">
        <v>4</v>
      </c>
      <c r="J40" t="inlineStr">
        <is>
          <t>Normal</t>
        </is>
      </c>
      <c r="K40" t="n">
        <v>827</v>
      </c>
      <c r="L40" t="inlineStr">
        <is>
          <t>PijUog</t>
        </is>
      </c>
      <c r="P40" t="inlineStr">
        <is>
          <t>Administravimas ir darbų koordinavimas</t>
        </is>
      </c>
      <c r="R40" t="inlineStr">
        <is>
          <t>2024-01-01</t>
        </is>
      </c>
      <c r="T40" t="n">
        <v>0</v>
      </c>
      <c r="U40" t="b">
        <v>0</v>
      </c>
      <c r="X40" t="n">
        <v>8.529999999999999</v>
      </c>
      <c r="Y40" t="n">
        <v>8.529999999999999</v>
      </c>
      <c r="Z40" t="inlineStr">
        <is>
          <t>[List]</t>
        </is>
      </c>
      <c r="AA40" t="inlineStr">
        <is>
          <t>2024-02-21T09:23:07Z</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5" customWidth="1" style="17" min="1" max="1"/>
    <col width="20" customWidth="1" style="17" min="2" max="2"/>
    <col width="15" customWidth="1" style="17" min="3" max="3"/>
  </cols>
  <sheetData>
    <row r="1">
      <c r="A1" s="22" t="inlineStr">
        <is>
          <t>FR3-SPRINT_1 COMPLETION FORECAST</t>
        </is>
      </c>
    </row>
    <row r="2">
      <c r="A2" s="23" t="inlineStr">
        <is>
          <t>Generated: 2025-11-03 09:25</t>
        </is>
      </c>
    </row>
    <row r="3"/>
    <row r="4">
      <c r="A4" s="24" t="inlineStr">
        <is>
          <t>CURRENT STATUS</t>
        </is>
      </c>
    </row>
    <row r="5">
      <c r="A5" s="25" t="inlineStr">
        <is>
          <t>Estimated Hours (Total)</t>
        </is>
      </c>
      <c r="B5" s="26" t="n">
        <v>155.5</v>
      </c>
      <c r="C5" t="inlineStr">
        <is>
          <t>hours</t>
        </is>
      </c>
    </row>
    <row r="6">
      <c r="A6" s="25" t="inlineStr">
        <is>
          <t>Actual Spent Hours</t>
        </is>
      </c>
      <c r="B6" s="26" t="n">
        <v>101</v>
      </c>
      <c r="C6" t="inlineStr">
        <is>
          <t>hours</t>
        </is>
      </c>
    </row>
    <row r="7">
      <c r="A7" s="25" t="inlineStr">
        <is>
          <t>Earned Value (Completed)</t>
        </is>
      </c>
      <c r="B7" s="26" t="n">
        <v>43.15</v>
      </c>
      <c r="C7" t="inlineStr">
        <is>
          <t>hours</t>
        </is>
      </c>
    </row>
    <row r="8">
      <c r="A8" s="25" t="inlineStr">
        <is>
          <t>Burn Efficiency</t>
        </is>
      </c>
      <c r="B8" s="31" t="inlineStr">
        <is>
          <t>42.72%</t>
        </is>
      </c>
    </row>
    <row r="9"/>
    <row r="10">
      <c r="A10" s="24" t="inlineStr">
        <is>
          <t>REMAINING WORK</t>
        </is>
      </c>
    </row>
    <row r="11">
      <c r="A11" s="25" t="inlineStr">
        <is>
          <t>Remaining Work</t>
        </is>
      </c>
      <c r="B11" s="32" t="n">
        <v>112.35</v>
      </c>
      <c r="C11" t="inlineStr">
        <is>
          <t>hours</t>
        </is>
      </c>
    </row>
    <row r="12">
      <c r="A12" s="25" t="inlineStr">
        <is>
          <t>Actual Hours Needed (at current efficiency)</t>
        </is>
      </c>
      <c r="B12" s="33" t="n">
        <v>262.97</v>
      </c>
      <c r="C12" t="inlineStr">
        <is>
          <t>hours</t>
        </is>
      </c>
    </row>
    <row r="13"/>
    <row r="14">
      <c r="A14" s="24" t="inlineStr">
        <is>
          <t>COMPLETION FORECAST (40h/week)</t>
        </is>
      </c>
    </row>
    <row r="15">
      <c r="A15" s="25" t="inlineStr">
        <is>
          <t>Weeks Needed</t>
        </is>
      </c>
      <c r="B15" s="33" t="n">
        <v>6.57</v>
      </c>
      <c r="C15" t="inlineStr">
        <is>
          <t>weeks</t>
        </is>
      </c>
    </row>
    <row r="16">
      <c r="A16" s="25" t="inlineStr">
        <is>
          <t>Working Days</t>
        </is>
      </c>
      <c r="B16" s="34" t="n">
        <v>46</v>
      </c>
      <c r="C16" t="inlineStr">
        <is>
          <t>days</t>
        </is>
      </c>
    </row>
    <row r="17">
      <c r="A17" s="25" t="inlineStr">
        <is>
          <t>Start Date</t>
        </is>
      </c>
      <c r="B17" s="35" t="inlineStr">
        <is>
          <t>2025-11-03</t>
        </is>
      </c>
    </row>
    <row r="18">
      <c r="A18" s="25" t="inlineStr">
        <is>
          <t>Estimated Completion Date</t>
        </is>
      </c>
      <c r="B18" s="36" t="inlineStr">
        <is>
          <t>2025-12-19</t>
        </is>
      </c>
    </row>
    <row r="19"/>
    <row r="20">
      <c r="A20" s="29" t="inlineStr">
        <is>
          <t>SUMMARY</t>
        </is>
      </c>
    </row>
    <row r="21" ht="40" customHeight="1" s="17">
      <c r="A21" s="30" t="inlineStr">
        <is>
          <t>At the current burn efficiency of 42.72%, the team will complete all planned work by December 19, 2025 (approximately 6 weeks and 4 days from now).</t>
        </is>
      </c>
    </row>
  </sheetData>
  <mergeCells count="5">
    <mergeCell ref="A4:B4"/>
    <mergeCell ref="A10:B10"/>
    <mergeCell ref="A14:B14"/>
    <mergeCell ref="A21:C21"/>
    <mergeCell ref="A20:C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Jurijus Mirošničenko</dc:creator>
  <dcterms:created xsi:type="dcterms:W3CDTF">2025-10-21T11:09:29Z</dcterms:created>
  <dcterms:modified xsi:type="dcterms:W3CDTF">2025-11-03T07:32:29Z</dcterms:modified>
  <cp:lastModifiedBy>Jurijus Mirošničenko</cp:lastModifiedBy>
</cp:coreProperties>
</file>